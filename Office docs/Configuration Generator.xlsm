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lie\Documents\Felix Documents IPS\API\"/>
    </mc:Choice>
  </mc:AlternateContent>
  <bookViews>
    <workbookView xWindow="0" yWindow="0" windowWidth="20490" windowHeight="7755" activeTab="2"/>
  </bookViews>
  <sheets>
    <sheet name="Sheet1" sheetId="1" r:id="rId1"/>
    <sheet name="Sheet2" sheetId="2" r:id="rId2"/>
    <sheet name="Sheet3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20" i="2" l="1"/>
  <c r="AK20" i="2"/>
  <c r="AJ20" i="2"/>
  <c r="AI20" i="2"/>
  <c r="AH20" i="2"/>
  <c r="AG20" i="2"/>
  <c r="C20" i="2"/>
  <c r="E20" i="2" s="1"/>
  <c r="AL19" i="2"/>
  <c r="AK19" i="2"/>
  <c r="AJ19" i="2"/>
  <c r="AI19" i="2"/>
  <c r="AH19" i="2"/>
  <c r="AG19" i="2"/>
  <c r="AF19" i="2"/>
  <c r="AE19" i="2"/>
  <c r="C19" i="2"/>
  <c r="E19" i="2" s="1"/>
  <c r="AJ18" i="2"/>
  <c r="AI18" i="2"/>
  <c r="AH18" i="2"/>
  <c r="AG18" i="2"/>
  <c r="AF18" i="2"/>
  <c r="AE18" i="2"/>
  <c r="AD18" i="2"/>
  <c r="AC18" i="2"/>
  <c r="C18" i="2"/>
  <c r="E18" i="2" s="1"/>
  <c r="AI17" i="2"/>
  <c r="AH17" i="2"/>
  <c r="AG17" i="2"/>
  <c r="AF17" i="2"/>
  <c r="AE17" i="2"/>
  <c r="AD17" i="2"/>
  <c r="AC17" i="2"/>
  <c r="AB17" i="2"/>
  <c r="AA17" i="2"/>
  <c r="C17" i="2"/>
  <c r="E17" i="2" s="1"/>
  <c r="AG16" i="2"/>
  <c r="AF16" i="2"/>
  <c r="AE16" i="2"/>
  <c r="AD16" i="2"/>
  <c r="AC16" i="2"/>
  <c r="AB16" i="2"/>
  <c r="AA16" i="2"/>
  <c r="Z16" i="2"/>
  <c r="Y16" i="2"/>
  <c r="C16" i="2"/>
  <c r="E16" i="2" s="1"/>
  <c r="AE15" i="2"/>
  <c r="AD15" i="2"/>
  <c r="AC15" i="2"/>
  <c r="AB15" i="2"/>
  <c r="AA15" i="2"/>
  <c r="Z15" i="2"/>
  <c r="Y15" i="2"/>
  <c r="X15" i="2"/>
  <c r="W15" i="2"/>
  <c r="C15" i="2"/>
  <c r="E15" i="2" s="1"/>
  <c r="AE14" i="2"/>
  <c r="AD14" i="2"/>
  <c r="AC14" i="2"/>
  <c r="AB14" i="2"/>
  <c r="AA14" i="2"/>
  <c r="Z14" i="2"/>
  <c r="Y14" i="2"/>
  <c r="X14" i="2"/>
  <c r="W14" i="2"/>
  <c r="V14" i="2"/>
  <c r="U14" i="2"/>
  <c r="C14" i="2"/>
  <c r="E14" i="2" s="1"/>
  <c r="AE13" i="2"/>
  <c r="AD13" i="2"/>
  <c r="AC13" i="2"/>
  <c r="AB13" i="2"/>
  <c r="AA13" i="2"/>
  <c r="Z13" i="2"/>
  <c r="Y13" i="2"/>
  <c r="X13" i="2"/>
  <c r="W13" i="2"/>
  <c r="V13" i="2"/>
  <c r="U13" i="2"/>
  <c r="C13" i="2"/>
  <c r="E13" i="2" s="1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C12" i="2"/>
  <c r="E12" i="2" s="1"/>
  <c r="AC11" i="2"/>
  <c r="AB11" i="2"/>
  <c r="AA11" i="2"/>
  <c r="Z11" i="2"/>
  <c r="Y11" i="2"/>
  <c r="X11" i="2"/>
  <c r="W11" i="2"/>
  <c r="V11" i="2"/>
  <c r="U11" i="2"/>
  <c r="T11" i="2"/>
  <c r="S11" i="2"/>
  <c r="R11" i="2"/>
  <c r="C11" i="2"/>
  <c r="E11" i="2" s="1"/>
  <c r="AB10" i="2"/>
  <c r="AA10" i="2"/>
  <c r="Z10" i="2"/>
  <c r="Y10" i="2"/>
  <c r="X10" i="2"/>
  <c r="W10" i="2"/>
  <c r="V10" i="2"/>
  <c r="U10" i="2"/>
  <c r="T10" i="2"/>
  <c r="S10" i="2"/>
  <c r="R10" i="2"/>
  <c r="C10" i="2"/>
  <c r="E10" i="2" s="1"/>
  <c r="AA9" i="2"/>
  <c r="Z9" i="2"/>
  <c r="Y9" i="2"/>
  <c r="X9" i="2"/>
  <c r="W9" i="2"/>
  <c r="V9" i="2"/>
  <c r="U9" i="2"/>
  <c r="T9" i="2"/>
  <c r="S9" i="2"/>
  <c r="R9" i="2"/>
  <c r="C9" i="2"/>
  <c r="E9" i="2" s="1"/>
  <c r="Y8" i="2"/>
  <c r="X8" i="2"/>
  <c r="W8" i="2"/>
  <c r="V8" i="2"/>
  <c r="U8" i="2"/>
  <c r="T8" i="2"/>
  <c r="S8" i="2"/>
  <c r="R8" i="2"/>
  <c r="Q8" i="2"/>
  <c r="C8" i="2"/>
  <c r="E8" i="2" s="1"/>
  <c r="W7" i="2"/>
  <c r="V7" i="2"/>
  <c r="U7" i="2"/>
  <c r="T7" i="2"/>
  <c r="S7" i="2"/>
  <c r="R7" i="2"/>
  <c r="Q7" i="2"/>
  <c r="C7" i="2"/>
  <c r="E7" i="2" s="1"/>
  <c r="U6" i="2"/>
  <c r="T6" i="2"/>
  <c r="S6" i="2"/>
  <c r="R6" i="2"/>
  <c r="Q6" i="2"/>
  <c r="C6" i="2"/>
  <c r="E6" i="2" s="1"/>
  <c r="T5" i="2"/>
  <c r="S5" i="2"/>
  <c r="R5" i="2"/>
  <c r="Q5" i="2"/>
  <c r="C5" i="2"/>
  <c r="E5" i="2" s="1"/>
  <c r="S4" i="2"/>
  <c r="R4" i="2"/>
  <c r="Q4" i="2"/>
  <c r="P4" i="2"/>
  <c r="C4" i="2"/>
  <c r="E4" i="2" s="1"/>
  <c r="R3" i="2"/>
  <c r="Q3" i="2"/>
  <c r="P3" i="2"/>
  <c r="O3" i="2"/>
  <c r="C3" i="2"/>
  <c r="E3" i="2" s="1"/>
  <c r="R35" i="1"/>
  <c r="S35" i="1"/>
  <c r="T35" i="1"/>
  <c r="S36" i="1"/>
  <c r="T36" i="1"/>
  <c r="S37" i="1"/>
  <c r="T37" i="1"/>
  <c r="C17" i="1"/>
  <c r="D17" i="1"/>
  <c r="E17" i="1"/>
  <c r="F17" i="1"/>
  <c r="G17" i="1"/>
  <c r="H17" i="1"/>
  <c r="I17" i="1"/>
  <c r="J17" i="1"/>
  <c r="K17" i="1"/>
  <c r="D18" i="1"/>
  <c r="E18" i="1"/>
  <c r="F18" i="1"/>
  <c r="G18" i="1"/>
  <c r="H18" i="1"/>
  <c r="I18" i="1"/>
  <c r="J18" i="1"/>
  <c r="K18" i="1"/>
  <c r="L18" i="1"/>
  <c r="E19" i="1"/>
  <c r="F19" i="1"/>
  <c r="G19" i="1"/>
  <c r="H19" i="1"/>
  <c r="I19" i="1"/>
  <c r="J19" i="1"/>
  <c r="K19" i="1"/>
  <c r="L19" i="1"/>
  <c r="F20" i="1"/>
  <c r="G20" i="1"/>
  <c r="H20" i="1"/>
  <c r="I20" i="1"/>
  <c r="J20" i="1"/>
  <c r="K20" i="1"/>
  <c r="L20" i="1"/>
  <c r="M20" i="1"/>
  <c r="N20" i="1"/>
  <c r="G21" i="1"/>
  <c r="H21" i="1"/>
  <c r="I21" i="1"/>
  <c r="J21" i="1"/>
  <c r="K21" i="1"/>
  <c r="L21" i="1"/>
  <c r="M21" i="1"/>
  <c r="N21" i="1"/>
  <c r="G22" i="1"/>
  <c r="H22" i="1"/>
  <c r="I22" i="1"/>
  <c r="J22" i="1"/>
  <c r="K22" i="1"/>
  <c r="L22" i="1"/>
  <c r="M22" i="1"/>
  <c r="N22" i="1"/>
  <c r="O22" i="1"/>
  <c r="H23" i="1"/>
  <c r="I23" i="1"/>
  <c r="J23" i="1"/>
  <c r="K23" i="1"/>
  <c r="L23" i="1"/>
  <c r="M23" i="1"/>
  <c r="N23" i="1"/>
  <c r="O23" i="1"/>
  <c r="H24" i="1"/>
  <c r="I24" i="1"/>
  <c r="J24" i="1"/>
  <c r="K24" i="1"/>
  <c r="L24" i="1"/>
  <c r="M24" i="1"/>
  <c r="N24" i="1"/>
  <c r="O24" i="1"/>
  <c r="P24" i="1"/>
  <c r="I25" i="1"/>
  <c r="J25" i="1"/>
  <c r="K25" i="1"/>
  <c r="L25" i="1"/>
  <c r="M25" i="1"/>
  <c r="N25" i="1"/>
  <c r="O25" i="1"/>
  <c r="P25" i="1"/>
  <c r="I26" i="1"/>
  <c r="J26" i="1"/>
  <c r="K26" i="1"/>
  <c r="L26" i="1"/>
  <c r="M26" i="1"/>
  <c r="N26" i="1"/>
  <c r="O26" i="1"/>
  <c r="P26" i="1"/>
  <c r="Q26" i="1"/>
  <c r="J27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R28" i="1"/>
  <c r="L29" i="1"/>
  <c r="M29" i="1"/>
  <c r="N29" i="1"/>
  <c r="O29" i="1"/>
  <c r="P29" i="1"/>
  <c r="Q29" i="1"/>
  <c r="R29" i="1"/>
  <c r="L30" i="1"/>
  <c r="M30" i="1"/>
  <c r="N30" i="1"/>
  <c r="O30" i="1"/>
  <c r="P30" i="1"/>
  <c r="Q30" i="1"/>
  <c r="R30" i="1"/>
  <c r="S30" i="1"/>
  <c r="P31" i="1"/>
  <c r="Q31" i="1"/>
  <c r="R31" i="1"/>
  <c r="S31" i="1"/>
  <c r="P32" i="1"/>
  <c r="Q32" i="1"/>
  <c r="R32" i="1"/>
  <c r="S32" i="1"/>
  <c r="T32" i="1"/>
  <c r="Q33" i="1"/>
  <c r="R33" i="1"/>
  <c r="S33" i="1"/>
  <c r="T33" i="1"/>
  <c r="Q34" i="1"/>
  <c r="R34" i="1"/>
  <c r="S34" i="1"/>
  <c r="T34" i="1"/>
  <c r="H16" i="1"/>
  <c r="G16" i="1"/>
  <c r="F16" i="1"/>
  <c r="E16" i="1"/>
  <c r="D16" i="1"/>
  <c r="D15" i="1"/>
  <c r="C15" i="1"/>
  <c r="C16" i="1"/>
  <c r="C14" i="1"/>
  <c r="D6" i="1"/>
  <c r="L6" i="1"/>
  <c r="P6" i="1"/>
  <c r="T6" i="1"/>
  <c r="D4" i="1"/>
  <c r="E4" i="1"/>
  <c r="E6" i="1" s="1"/>
  <c r="F4" i="1"/>
  <c r="F6" i="1" s="1"/>
  <c r="G4" i="1"/>
  <c r="G6" i="1" s="1"/>
  <c r="H4" i="1"/>
  <c r="H6" i="1" s="1"/>
  <c r="I4" i="1"/>
  <c r="I6" i="1" s="1"/>
  <c r="J4" i="1"/>
  <c r="J6" i="1" s="1"/>
  <c r="K4" i="1"/>
  <c r="K6" i="1" s="1"/>
  <c r="L4" i="1"/>
  <c r="M4" i="1"/>
  <c r="M6" i="1" s="1"/>
  <c r="N4" i="1"/>
  <c r="N6" i="1" s="1"/>
  <c r="O4" i="1"/>
  <c r="O6" i="1" s="1"/>
  <c r="P4" i="1"/>
  <c r="Q4" i="1"/>
  <c r="Q6" i="1" s="1"/>
  <c r="R4" i="1"/>
  <c r="R6" i="1" s="1"/>
  <c r="S4" i="1"/>
  <c r="S6" i="1" s="1"/>
  <c r="T4" i="1"/>
  <c r="C4" i="1"/>
  <c r="C6" i="1" s="1"/>
</calcChain>
</file>

<file path=xl/sharedStrings.xml><?xml version="1.0" encoding="utf-8"?>
<sst xmlns="http://schemas.openxmlformats.org/spreadsheetml/2006/main" count="220" uniqueCount="185">
  <si>
    <t>Nominal Size</t>
  </si>
  <si>
    <t>B Threads per Inch UNC-2A</t>
  </si>
  <si>
    <t>ØD Body Diameter</t>
  </si>
  <si>
    <t>H Head Height</t>
  </si>
  <si>
    <t>Tensile Strength [Lbs]</t>
  </si>
  <si>
    <t>L Length</t>
  </si>
  <si>
    <t>Title</t>
  </si>
  <si>
    <t>Nominal Size Dash</t>
  </si>
  <si>
    <t>01</t>
  </si>
  <si>
    <t>02</t>
  </si>
  <si>
    <t>03</t>
  </si>
  <si>
    <t>04</t>
  </si>
  <si>
    <t>06</t>
  </si>
  <si>
    <t>08</t>
  </si>
  <si>
    <t>3</t>
  </si>
  <si>
    <t>4</t>
  </si>
  <si>
    <t>5</t>
  </si>
  <si>
    <t>6</t>
  </si>
  <si>
    <t>8</t>
  </si>
  <si>
    <t>7</t>
  </si>
  <si>
    <t>10</t>
  </si>
  <si>
    <t>12</t>
  </si>
  <si>
    <t>14</t>
  </si>
  <si>
    <t>16</t>
  </si>
  <si>
    <t>20</t>
  </si>
  <si>
    <t>24</t>
  </si>
  <si>
    <t>ØA Head Diameter</t>
  </si>
  <si>
    <t>J Socket Size</t>
  </si>
  <si>
    <t>T Key Engagement</t>
  </si>
  <si>
    <t>S Head Side Height</t>
  </si>
  <si>
    <t xml:space="preserve">K Chamfer </t>
  </si>
  <si>
    <t>Dash Length</t>
  </si>
  <si>
    <t>Lt min Basic Thd</t>
  </si>
  <si>
    <t>$STATE@Boss-Extrude2</t>
  </si>
  <si>
    <t>UNSUPPRESSED</t>
  </si>
  <si>
    <t>-01-2</t>
  </si>
  <si>
    <t>-01-3</t>
  </si>
  <si>
    <t>-01-4</t>
  </si>
  <si>
    <t>-01-6</t>
  </si>
  <si>
    <t>-02-3</t>
  </si>
  <si>
    <t>-02-4</t>
  </si>
  <si>
    <t>-02-6</t>
  </si>
  <si>
    <t>-02-8</t>
  </si>
  <si>
    <t>-03-4</t>
  </si>
  <si>
    <t>-03-6</t>
  </si>
  <si>
    <t>-03-8</t>
  </si>
  <si>
    <t>-03-10</t>
  </si>
  <si>
    <t>-04-4</t>
  </si>
  <si>
    <t>-04-6</t>
  </si>
  <si>
    <t>-04-8</t>
  </si>
  <si>
    <t>-04-10</t>
  </si>
  <si>
    <t>-04-12</t>
  </si>
  <si>
    <t>-06-4</t>
  </si>
  <si>
    <t>-06-6</t>
  </si>
  <si>
    <t>-06-8</t>
  </si>
  <si>
    <t>-06-10</t>
  </si>
  <si>
    <t>-06-12</t>
  </si>
  <si>
    <t>-06-14</t>
  </si>
  <si>
    <t>-06-16</t>
  </si>
  <si>
    <t>-08-4</t>
  </si>
  <si>
    <t>-08-6</t>
  </si>
  <si>
    <t>-08-8</t>
  </si>
  <si>
    <t>-08-10</t>
  </si>
  <si>
    <t>-08-12</t>
  </si>
  <si>
    <t>-08-14</t>
  </si>
  <si>
    <t>-08-16</t>
  </si>
  <si>
    <t>-08-20</t>
  </si>
  <si>
    <t>-08-24</t>
  </si>
  <si>
    <t>-3-6</t>
  </si>
  <si>
    <t>-3-8</t>
  </si>
  <si>
    <t>-3-10</t>
  </si>
  <si>
    <t>-3-12</t>
  </si>
  <si>
    <t>-3-14</t>
  </si>
  <si>
    <t>-3-16</t>
  </si>
  <si>
    <t>-3-20</t>
  </si>
  <si>
    <t>-3-24</t>
  </si>
  <si>
    <t>-3-28</t>
  </si>
  <si>
    <t>-3-32</t>
  </si>
  <si>
    <t>-4-6</t>
  </si>
  <si>
    <t>-4-8</t>
  </si>
  <si>
    <t>-4-10</t>
  </si>
  <si>
    <t>-4-12</t>
  </si>
  <si>
    <t>-4-14</t>
  </si>
  <si>
    <t>-4-16</t>
  </si>
  <si>
    <t>-4-20</t>
  </si>
  <si>
    <t>-4-24</t>
  </si>
  <si>
    <t>-4-28</t>
  </si>
  <si>
    <t>-4-32</t>
  </si>
  <si>
    <t>-4-36</t>
  </si>
  <si>
    <t>-5-6</t>
  </si>
  <si>
    <t>-5-8</t>
  </si>
  <si>
    <t>-5-10</t>
  </si>
  <si>
    <t>-5-12</t>
  </si>
  <si>
    <t>-5-14</t>
  </si>
  <si>
    <t>-5-16</t>
  </si>
  <si>
    <t>-5-20</t>
  </si>
  <si>
    <t>-5-24</t>
  </si>
  <si>
    <t>-5-28</t>
  </si>
  <si>
    <t>-5-32</t>
  </si>
  <si>
    <t>-5-36</t>
  </si>
  <si>
    <t>-5-40</t>
  </si>
  <si>
    <t>-6-8</t>
  </si>
  <si>
    <t>-6-10</t>
  </si>
  <si>
    <t>-6-12</t>
  </si>
  <si>
    <t>-6-14</t>
  </si>
  <si>
    <t>-6-16</t>
  </si>
  <si>
    <t>-6-20</t>
  </si>
  <si>
    <t>-6-24</t>
  </si>
  <si>
    <t>-6-28</t>
  </si>
  <si>
    <t>-6-32</t>
  </si>
  <si>
    <t>-6-36</t>
  </si>
  <si>
    <t>-6-40</t>
  </si>
  <si>
    <t>-6-44</t>
  </si>
  <si>
    <t>-6-48</t>
  </si>
  <si>
    <t>-7-12</t>
  </si>
  <si>
    <t>-7-14</t>
  </si>
  <si>
    <t>-7-16</t>
  </si>
  <si>
    <t>-7-20</t>
  </si>
  <si>
    <t>-7-24</t>
  </si>
  <si>
    <t>-7-28</t>
  </si>
  <si>
    <t>-7-32</t>
  </si>
  <si>
    <t>-7-36</t>
  </si>
  <si>
    <t>-7-40</t>
  </si>
  <si>
    <t>-7-44</t>
  </si>
  <si>
    <t>-7-48</t>
  </si>
  <si>
    <t>-8-12</t>
  </si>
  <si>
    <t>-8-14</t>
  </si>
  <si>
    <t>-8-16</t>
  </si>
  <si>
    <t>-8-20</t>
  </si>
  <si>
    <t>-8-24</t>
  </si>
  <si>
    <t>-8-28</t>
  </si>
  <si>
    <t>-8-32</t>
  </si>
  <si>
    <t>-8-36</t>
  </si>
  <si>
    <t>-8-40</t>
  </si>
  <si>
    <t>-8-44</t>
  </si>
  <si>
    <t>-8-48</t>
  </si>
  <si>
    <t>-10-16</t>
  </si>
  <si>
    <t>-10-20</t>
  </si>
  <si>
    <t>-10-24</t>
  </si>
  <si>
    <t>-10-28</t>
  </si>
  <si>
    <t>-10-32</t>
  </si>
  <si>
    <t>-10-36</t>
  </si>
  <si>
    <t>-10-40</t>
  </si>
  <si>
    <t>-10-44</t>
  </si>
  <si>
    <t>-10-48</t>
  </si>
  <si>
    <t>-12-24</t>
  </si>
  <si>
    <t>-12-28</t>
  </si>
  <si>
    <t>-12-32</t>
  </si>
  <si>
    <t>-12-36</t>
  </si>
  <si>
    <t>-12-40</t>
  </si>
  <si>
    <t>-12-44</t>
  </si>
  <si>
    <t>-12-48</t>
  </si>
  <si>
    <t>-12-52</t>
  </si>
  <si>
    <t>-12-56</t>
  </si>
  <si>
    <t>-14-32</t>
  </si>
  <si>
    <t>-14-36</t>
  </si>
  <si>
    <t>-14-40</t>
  </si>
  <si>
    <t>-14-44</t>
  </si>
  <si>
    <t>-14-48</t>
  </si>
  <si>
    <t>-14-52</t>
  </si>
  <si>
    <t>-14-56</t>
  </si>
  <si>
    <t>-14-64</t>
  </si>
  <si>
    <t>-14-72</t>
  </si>
  <si>
    <t>-16-40</t>
  </si>
  <si>
    <t>-16-44</t>
  </si>
  <si>
    <t>-16-48</t>
  </si>
  <si>
    <t>-16-52</t>
  </si>
  <si>
    <t>-16-56</t>
  </si>
  <si>
    <t>-16-64</t>
  </si>
  <si>
    <t>-16-72</t>
  </si>
  <si>
    <t>-16-80</t>
  </si>
  <si>
    <t>-20-48</t>
  </si>
  <si>
    <t>-20-52</t>
  </si>
  <si>
    <t>-20-56</t>
  </si>
  <si>
    <t>-20-64</t>
  </si>
  <si>
    <t>-20-72</t>
  </si>
  <si>
    <t>-20-80</t>
  </si>
  <si>
    <t>-20-88</t>
  </si>
  <si>
    <t>-20-96</t>
  </si>
  <si>
    <t>-24-56</t>
  </si>
  <si>
    <t>-24-64</t>
  </si>
  <si>
    <t>-24-72</t>
  </si>
  <si>
    <t>-24-80</t>
  </si>
  <si>
    <t>-24-88</t>
  </si>
  <si>
    <t>-24-96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</si>
</sst>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</xdr:colOff>
      <xdr:row>1</xdr:row>
      <xdr:rowOff>0</xdr:rowOff>
    </xdr:from>
    <xdr:to>
      <xdr:col>29</xdr:col>
      <xdr:colOff>104774</xdr:colOff>
      <xdr:row>13</xdr:row>
      <xdr:rowOff>161925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0" y="0"/>
          <a:ext cx="4943475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2"/>
  <sheetViews>
    <sheetView zoomScale="55" zoomScaleNormal="55" workbookViewId="0">
      <selection activeCell="F21" sqref="A1:U37"/>
    </sheetView>
  </sheetViews>
  <sheetFormatPr defaultRowHeight="15" x14ac:dyDescent="0.25"/>
  <cols>
    <col min="1" max="1" width="11.7109375" bestFit="1" customWidth="1"/>
    <col min="2" max="2" width="24.85546875" bestFit="1" customWidth="1"/>
    <col min="21" max="21" width="26.42578125" bestFit="1" customWidth="1"/>
  </cols>
  <sheetData>
    <row r="1" spans="1:21" x14ac:dyDescent="0.25">
      <c r="B1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19</v>
      </c>
      <c r="N1" s="2" t="s">
        <v>18</v>
      </c>
      <c r="O1" s="2" t="s">
        <v>20</v>
      </c>
      <c r="P1" s="2" t="s">
        <v>21</v>
      </c>
      <c r="Q1" s="2" t="s">
        <v>22</v>
      </c>
      <c r="R1" s="2" t="s">
        <v>23</v>
      </c>
      <c r="S1" s="2" t="s">
        <v>24</v>
      </c>
      <c r="T1" s="2" t="s">
        <v>25</v>
      </c>
      <c r="U1" t="s">
        <v>33</v>
      </c>
    </row>
    <row r="2" spans="1:21" x14ac:dyDescent="0.25">
      <c r="B2" t="s">
        <v>0</v>
      </c>
      <c r="C2" s="1">
        <v>7.2999999999999995E-2</v>
      </c>
      <c r="D2" s="1">
        <v>8.5999999999999993E-2</v>
      </c>
      <c r="E2" s="1">
        <v>9.9000000000000005E-2</v>
      </c>
      <c r="F2" s="1">
        <v>0.112</v>
      </c>
      <c r="G2" s="1">
        <v>0.13800000000000001</v>
      </c>
      <c r="H2" s="1">
        <v>0.16400000000000001</v>
      </c>
      <c r="I2" s="1">
        <v>0.19</v>
      </c>
      <c r="J2" s="1">
        <v>0.25</v>
      </c>
      <c r="K2" s="1">
        <v>0.3125</v>
      </c>
      <c r="L2" s="1">
        <v>0.375</v>
      </c>
      <c r="M2" s="1">
        <v>0.4375</v>
      </c>
      <c r="N2" s="1">
        <v>0.5</v>
      </c>
      <c r="O2" s="1">
        <v>0.625</v>
      </c>
      <c r="P2" s="1">
        <v>0.75</v>
      </c>
      <c r="Q2" s="1">
        <v>0.875</v>
      </c>
      <c r="R2" s="1">
        <v>1</v>
      </c>
      <c r="S2" s="1">
        <v>1.25</v>
      </c>
      <c r="T2" s="1">
        <v>1.5</v>
      </c>
      <c r="U2" s="1" t="s">
        <v>34</v>
      </c>
    </row>
    <row r="3" spans="1:21" x14ac:dyDescent="0.25">
      <c r="B3" t="s">
        <v>1</v>
      </c>
      <c r="C3">
        <v>64</v>
      </c>
      <c r="D3">
        <v>56</v>
      </c>
      <c r="E3">
        <v>48</v>
      </c>
      <c r="F3">
        <v>40</v>
      </c>
      <c r="G3">
        <v>32</v>
      </c>
      <c r="H3">
        <v>32</v>
      </c>
      <c r="I3">
        <v>24</v>
      </c>
      <c r="J3">
        <v>20</v>
      </c>
      <c r="K3">
        <v>18</v>
      </c>
      <c r="L3">
        <v>16</v>
      </c>
      <c r="M3">
        <v>14</v>
      </c>
      <c r="N3">
        <v>13</v>
      </c>
      <c r="O3">
        <v>11</v>
      </c>
      <c r="P3">
        <v>10</v>
      </c>
      <c r="Q3">
        <v>9</v>
      </c>
      <c r="R3">
        <v>8</v>
      </c>
      <c r="S3">
        <v>7</v>
      </c>
      <c r="T3">
        <v>6</v>
      </c>
    </row>
    <row r="4" spans="1:21" x14ac:dyDescent="0.25">
      <c r="B4" t="s">
        <v>2</v>
      </c>
      <c r="C4">
        <f>+C2</f>
        <v>7.2999999999999995E-2</v>
      </c>
      <c r="D4">
        <f t="shared" ref="D4:T4" si="0">+D2</f>
        <v>8.5999999999999993E-2</v>
      </c>
      <c r="E4">
        <f t="shared" si="0"/>
        <v>9.9000000000000005E-2</v>
      </c>
      <c r="F4">
        <f t="shared" si="0"/>
        <v>0.112</v>
      </c>
      <c r="G4">
        <f t="shared" si="0"/>
        <v>0.13800000000000001</v>
      </c>
      <c r="H4">
        <f t="shared" si="0"/>
        <v>0.16400000000000001</v>
      </c>
      <c r="I4">
        <f t="shared" si="0"/>
        <v>0.19</v>
      </c>
      <c r="J4">
        <f t="shared" si="0"/>
        <v>0.25</v>
      </c>
      <c r="K4">
        <f t="shared" si="0"/>
        <v>0.3125</v>
      </c>
      <c r="L4">
        <f t="shared" si="0"/>
        <v>0.375</v>
      </c>
      <c r="M4">
        <f t="shared" si="0"/>
        <v>0.4375</v>
      </c>
      <c r="N4">
        <f t="shared" si="0"/>
        <v>0.5</v>
      </c>
      <c r="O4">
        <f t="shared" si="0"/>
        <v>0.625</v>
      </c>
      <c r="P4">
        <f t="shared" si="0"/>
        <v>0.75</v>
      </c>
      <c r="Q4">
        <f t="shared" si="0"/>
        <v>0.875</v>
      </c>
      <c r="R4">
        <f t="shared" si="0"/>
        <v>1</v>
      </c>
      <c r="S4">
        <f t="shared" si="0"/>
        <v>1.25</v>
      </c>
      <c r="T4">
        <f t="shared" si="0"/>
        <v>1.5</v>
      </c>
    </row>
    <row r="5" spans="1:21" x14ac:dyDescent="0.25">
      <c r="B5" t="s">
        <v>26</v>
      </c>
      <c r="C5">
        <v>0.11799999999999999</v>
      </c>
      <c r="D5">
        <v>0.14000000000000001</v>
      </c>
      <c r="E5">
        <v>0.161</v>
      </c>
      <c r="F5">
        <v>0.183</v>
      </c>
      <c r="G5">
        <v>0.22600000000000001</v>
      </c>
      <c r="H5">
        <v>0.27</v>
      </c>
      <c r="I5">
        <v>0.312</v>
      </c>
      <c r="J5">
        <v>0.375</v>
      </c>
      <c r="K5">
        <v>0.46899999999999997</v>
      </c>
      <c r="L5">
        <v>0.56200000000000006</v>
      </c>
      <c r="M5">
        <v>0.65600000000000003</v>
      </c>
      <c r="N5">
        <v>0.75</v>
      </c>
      <c r="O5">
        <v>0.93700000000000006</v>
      </c>
      <c r="P5">
        <v>1.125</v>
      </c>
      <c r="Q5">
        <v>1.3120000000000001</v>
      </c>
      <c r="R5">
        <v>1.5</v>
      </c>
      <c r="S5">
        <v>1.875</v>
      </c>
      <c r="T5">
        <v>2.25</v>
      </c>
    </row>
    <row r="6" spans="1:21" x14ac:dyDescent="0.25">
      <c r="B6" t="s">
        <v>3</v>
      </c>
      <c r="C6">
        <f>+C4</f>
        <v>7.2999999999999995E-2</v>
      </c>
      <c r="D6">
        <f>+D4</f>
        <v>8.5999999999999993E-2</v>
      </c>
      <c r="E6">
        <f>+E4</f>
        <v>9.9000000000000005E-2</v>
      </c>
      <c r="F6">
        <f>+F4</f>
        <v>0.112</v>
      </c>
      <c r="G6">
        <f>+G4</f>
        <v>0.13800000000000001</v>
      </c>
      <c r="H6">
        <f>+H4</f>
        <v>0.16400000000000001</v>
      </c>
      <c r="I6">
        <f>+I4</f>
        <v>0.19</v>
      </c>
      <c r="J6">
        <f>+J4</f>
        <v>0.25</v>
      </c>
      <c r="K6">
        <f>+K4</f>
        <v>0.3125</v>
      </c>
      <c r="L6">
        <f>+L4</f>
        <v>0.375</v>
      </c>
      <c r="M6">
        <f>+M4</f>
        <v>0.4375</v>
      </c>
      <c r="N6">
        <f>+N4</f>
        <v>0.5</v>
      </c>
      <c r="O6">
        <f>+O4</f>
        <v>0.625</v>
      </c>
      <c r="P6">
        <f>+P4</f>
        <v>0.75</v>
      </c>
      <c r="Q6">
        <f>+Q4</f>
        <v>0.875</v>
      </c>
      <c r="R6">
        <f>+R4</f>
        <v>1</v>
      </c>
      <c r="S6">
        <f>+S4</f>
        <v>1.25</v>
      </c>
      <c r="T6">
        <f>+T4</f>
        <v>1.5</v>
      </c>
    </row>
    <row r="7" spans="1:21" x14ac:dyDescent="0.25">
      <c r="B7" t="s">
        <v>29</v>
      </c>
      <c r="C7">
        <v>6.6000000000000003E-2</v>
      </c>
      <c r="D7">
        <v>7.6999999999999999E-2</v>
      </c>
      <c r="E7">
        <v>8.8999999999999996E-2</v>
      </c>
      <c r="F7">
        <v>0.10100000000000001</v>
      </c>
      <c r="G7">
        <v>0.124</v>
      </c>
      <c r="H7">
        <v>0.14799999999999999</v>
      </c>
      <c r="I7">
        <v>0.17100000000000001</v>
      </c>
      <c r="J7">
        <v>0.22500000000000001</v>
      </c>
      <c r="K7">
        <v>0.28100000000000003</v>
      </c>
      <c r="L7">
        <v>0.33700000000000002</v>
      </c>
      <c r="M7">
        <v>0.39400000000000002</v>
      </c>
      <c r="N7">
        <v>0.45</v>
      </c>
      <c r="O7">
        <v>0.56200000000000006</v>
      </c>
      <c r="P7">
        <v>0.67500000000000004</v>
      </c>
      <c r="Q7">
        <v>0.78700000000000003</v>
      </c>
      <c r="R7">
        <v>0.9</v>
      </c>
      <c r="S7">
        <v>1.125</v>
      </c>
      <c r="T7">
        <v>1.35</v>
      </c>
    </row>
    <row r="8" spans="1:21" x14ac:dyDescent="0.25">
      <c r="B8" t="s">
        <v>27</v>
      </c>
      <c r="C8">
        <v>6.2E-2</v>
      </c>
      <c r="D8">
        <v>7.8E-2</v>
      </c>
      <c r="E8">
        <v>7.8E-2</v>
      </c>
      <c r="F8">
        <v>9.4E-2</v>
      </c>
      <c r="G8">
        <v>0.109</v>
      </c>
      <c r="H8">
        <v>0.14099999999999999</v>
      </c>
      <c r="I8">
        <v>0.156</v>
      </c>
      <c r="J8">
        <v>0.188</v>
      </c>
      <c r="K8">
        <v>0.25</v>
      </c>
      <c r="L8">
        <v>0.312</v>
      </c>
      <c r="M8">
        <v>0.375</v>
      </c>
      <c r="N8">
        <v>0.375</v>
      </c>
      <c r="O8">
        <v>0.5</v>
      </c>
      <c r="P8">
        <v>0.625</v>
      </c>
      <c r="Q8">
        <v>0.75</v>
      </c>
      <c r="R8">
        <v>0.75</v>
      </c>
      <c r="S8">
        <v>0.875</v>
      </c>
      <c r="T8">
        <v>1</v>
      </c>
    </row>
    <row r="9" spans="1:21" x14ac:dyDescent="0.25">
      <c r="B9" t="s">
        <v>28</v>
      </c>
      <c r="C9">
        <v>3.1E-2</v>
      </c>
      <c r="D9">
        <v>3.7999999999999999E-2</v>
      </c>
      <c r="E9">
        <v>4.3999999999999997E-2</v>
      </c>
      <c r="F9">
        <v>5.0999999999999997E-2</v>
      </c>
      <c r="G9">
        <v>6.4000000000000001E-2</v>
      </c>
      <c r="H9">
        <v>7.6999999999999999E-2</v>
      </c>
      <c r="I9">
        <v>0.09</v>
      </c>
      <c r="J9">
        <v>0.12</v>
      </c>
      <c r="K9">
        <v>0.151</v>
      </c>
      <c r="L9">
        <v>0.182</v>
      </c>
      <c r="M9">
        <v>0.21299999999999999</v>
      </c>
      <c r="N9">
        <v>0.245</v>
      </c>
      <c r="O9">
        <v>0.307</v>
      </c>
      <c r="P9">
        <v>0.37</v>
      </c>
      <c r="Q9">
        <v>0.432</v>
      </c>
      <c r="R9">
        <v>0.495</v>
      </c>
      <c r="S9">
        <v>0.62</v>
      </c>
      <c r="T9">
        <v>0.745</v>
      </c>
    </row>
    <row r="10" spans="1:21" x14ac:dyDescent="0.25">
      <c r="B10" t="s">
        <v>30</v>
      </c>
      <c r="C10">
        <v>3.0000000000000001E-3</v>
      </c>
      <c r="D10">
        <v>3.0000000000000001E-3</v>
      </c>
      <c r="E10">
        <v>3.0000000000000001E-3</v>
      </c>
      <c r="F10">
        <v>5.0000000000000001E-3</v>
      </c>
      <c r="G10">
        <v>5.0000000000000001E-3</v>
      </c>
      <c r="H10">
        <v>5.0000000000000001E-3</v>
      </c>
      <c r="I10">
        <v>5.0000000000000001E-3</v>
      </c>
      <c r="J10">
        <v>8.0000000000000002E-3</v>
      </c>
      <c r="K10">
        <v>8.0000000000000002E-3</v>
      </c>
      <c r="L10">
        <v>8.0000000000000002E-3</v>
      </c>
      <c r="M10">
        <v>0.01</v>
      </c>
      <c r="N10">
        <v>0.01</v>
      </c>
      <c r="O10">
        <v>0.01</v>
      </c>
      <c r="P10">
        <v>0.01</v>
      </c>
      <c r="Q10">
        <v>1.4999999999999999E-2</v>
      </c>
      <c r="R10">
        <v>1.4999999999999999E-2</v>
      </c>
      <c r="S10">
        <v>1.4999999999999999E-2</v>
      </c>
      <c r="T10">
        <v>1.4999999999999999E-2</v>
      </c>
    </row>
    <row r="11" spans="1:21" x14ac:dyDescent="0.25">
      <c r="B11" t="s">
        <v>32</v>
      </c>
      <c r="C11">
        <v>0.625</v>
      </c>
      <c r="D11">
        <v>0.625</v>
      </c>
      <c r="E11">
        <v>0.625</v>
      </c>
      <c r="F11">
        <v>0.75</v>
      </c>
      <c r="G11">
        <v>0.75</v>
      </c>
      <c r="H11">
        <v>0.875</v>
      </c>
      <c r="I11">
        <v>0.875</v>
      </c>
      <c r="J11">
        <v>1</v>
      </c>
      <c r="K11">
        <v>1.125</v>
      </c>
      <c r="L11">
        <v>1.25</v>
      </c>
      <c r="M11">
        <v>1.375</v>
      </c>
      <c r="N11">
        <v>1.5</v>
      </c>
      <c r="O11">
        <v>1.75</v>
      </c>
      <c r="P11">
        <v>2</v>
      </c>
      <c r="Q11">
        <v>2.25</v>
      </c>
      <c r="R11">
        <v>2.5</v>
      </c>
      <c r="S11">
        <v>3.125</v>
      </c>
      <c r="T11">
        <v>3.75</v>
      </c>
    </row>
    <row r="12" spans="1:21" x14ac:dyDescent="0.25">
      <c r="B12" t="s">
        <v>4</v>
      </c>
      <c r="C12">
        <v>210</v>
      </c>
      <c r="D12">
        <v>300</v>
      </c>
      <c r="E12">
        <v>390</v>
      </c>
      <c r="F12">
        <v>480</v>
      </c>
      <c r="G12">
        <v>730</v>
      </c>
      <c r="H12">
        <v>1120</v>
      </c>
      <c r="I12">
        <v>1400</v>
      </c>
      <c r="J12">
        <v>2540</v>
      </c>
      <c r="K12">
        <v>4190</v>
      </c>
      <c r="L12">
        <v>6200</v>
      </c>
      <c r="M12">
        <v>8500</v>
      </c>
      <c r="N12">
        <v>11300</v>
      </c>
      <c r="O12">
        <v>18100</v>
      </c>
      <c r="P12">
        <v>23400</v>
      </c>
      <c r="Q12">
        <v>32300</v>
      </c>
      <c r="R12">
        <v>42400</v>
      </c>
      <c r="S12">
        <v>67800</v>
      </c>
      <c r="T12">
        <v>98300</v>
      </c>
    </row>
    <row r="13" spans="1:21" x14ac:dyDescent="0.25">
      <c r="A13" t="s">
        <v>31</v>
      </c>
      <c r="B13" t="s">
        <v>5</v>
      </c>
    </row>
    <row r="14" spans="1:21" x14ac:dyDescent="0.25">
      <c r="A14">
        <v>2</v>
      </c>
      <c r="B14">
        <v>0.125</v>
      </c>
      <c r="C14" t="str">
        <f>("-")&amp;$C$1&amp;("-")&amp;A14</f>
        <v>-01-2</v>
      </c>
    </row>
    <row r="15" spans="1:21" x14ac:dyDescent="0.25">
      <c r="A15">
        <v>3</v>
      </c>
      <c r="B15">
        <v>0.188</v>
      </c>
      <c r="C15" t="str">
        <f t="shared" ref="C15:C16" si="1">("-")&amp;$C$1&amp;("-")&amp;A15</f>
        <v>-01-3</v>
      </c>
      <c r="D15" t="str">
        <f>("-")&amp;$D$1&amp;("-")&amp;A15</f>
        <v>-02-3</v>
      </c>
    </row>
    <row r="16" spans="1:21" x14ac:dyDescent="0.25">
      <c r="A16">
        <v>4</v>
      </c>
      <c r="B16">
        <v>0.25</v>
      </c>
      <c r="C16" t="str">
        <f t="shared" si="1"/>
        <v>-01-4</v>
      </c>
      <c r="D16" t="str">
        <f t="shared" ref="D16" si="2">("-")&amp;$D$1&amp;("-")&amp;A16</f>
        <v>-02-4</v>
      </c>
      <c r="E16" t="str">
        <f>("-")&amp;$E$1&amp;("-")&amp;A16</f>
        <v>-03-4</v>
      </c>
      <c r="F16" t="str">
        <f>("-")&amp;$F$1&amp;("-")&amp;A16</f>
        <v>-04-4</v>
      </c>
      <c r="G16" t="str">
        <f>("-")&amp;$G$1&amp;("-")&amp;A16</f>
        <v>-06-4</v>
      </c>
      <c r="H16" t="str">
        <f>("-")&amp;$H$1&amp;("-")&amp;A16</f>
        <v>-08-4</v>
      </c>
    </row>
    <row r="17" spans="1:20" x14ac:dyDescent="0.25">
      <c r="A17">
        <v>6</v>
      </c>
      <c r="B17">
        <v>0.375</v>
      </c>
      <c r="C17" t="str">
        <f t="shared" ref="C17" si="3">("-")&amp;$C$1&amp;("-")&amp;A17</f>
        <v>-01-6</v>
      </c>
      <c r="D17" t="str">
        <f t="shared" ref="D17:D18" si="4">("-")&amp;$D$1&amp;("-")&amp;A17</f>
        <v>-02-6</v>
      </c>
      <c r="E17" t="str">
        <f t="shared" ref="E17:E19" si="5">("-")&amp;$E$1&amp;("-")&amp;A17</f>
        <v>-03-6</v>
      </c>
      <c r="F17" t="str">
        <f t="shared" ref="F17:F20" si="6">("-")&amp;$F$1&amp;("-")&amp;A17</f>
        <v>-04-6</v>
      </c>
      <c r="G17" t="str">
        <f t="shared" ref="G17:G22" si="7">("-")&amp;$G$1&amp;("-")&amp;A17</f>
        <v>-06-6</v>
      </c>
      <c r="H17" t="str">
        <f t="shared" ref="H17:H24" si="8">("-")&amp;$H$1&amp;("-")&amp;A17</f>
        <v>-08-6</v>
      </c>
      <c r="I17" t="str">
        <f t="shared" ref="I17:I26" si="9">("-")&amp;$I$1&amp;("-")&amp;A17</f>
        <v>-3-6</v>
      </c>
      <c r="J17" t="str">
        <f t="shared" ref="J17:J27" si="10">("-")&amp;$J$1&amp;("-")&amp;A17</f>
        <v>-4-6</v>
      </c>
      <c r="K17" t="str">
        <f t="shared" ref="K17:K28" si="11">("-")&amp;$K$1&amp;("-")&amp;A17</f>
        <v>-5-6</v>
      </c>
    </row>
    <row r="18" spans="1:20" x14ac:dyDescent="0.25">
      <c r="A18">
        <v>8</v>
      </c>
      <c r="B18">
        <v>0.5</v>
      </c>
      <c r="D18" t="str">
        <f t="shared" si="4"/>
        <v>-02-8</v>
      </c>
      <c r="E18" t="str">
        <f t="shared" si="5"/>
        <v>-03-8</v>
      </c>
      <c r="F18" t="str">
        <f t="shared" si="6"/>
        <v>-04-8</v>
      </c>
      <c r="G18" t="str">
        <f t="shared" si="7"/>
        <v>-06-8</v>
      </c>
      <c r="H18" t="str">
        <f t="shared" si="8"/>
        <v>-08-8</v>
      </c>
      <c r="I18" t="str">
        <f t="shared" si="9"/>
        <v>-3-8</v>
      </c>
      <c r="J18" t="str">
        <f t="shared" si="10"/>
        <v>-4-8</v>
      </c>
      <c r="K18" t="str">
        <f t="shared" si="11"/>
        <v>-5-8</v>
      </c>
      <c r="L18" t="str">
        <f t="shared" ref="L18:L30" si="12">("-")&amp;$L$1&amp;("-")&amp;A18</f>
        <v>-6-8</v>
      </c>
    </row>
    <row r="19" spans="1:20" x14ac:dyDescent="0.25">
      <c r="A19">
        <v>10</v>
      </c>
      <c r="B19">
        <v>0.625</v>
      </c>
      <c r="E19" t="str">
        <f t="shared" si="5"/>
        <v>-03-10</v>
      </c>
      <c r="F19" t="str">
        <f t="shared" si="6"/>
        <v>-04-10</v>
      </c>
      <c r="G19" t="str">
        <f t="shared" si="7"/>
        <v>-06-10</v>
      </c>
      <c r="H19" t="str">
        <f t="shared" si="8"/>
        <v>-08-10</v>
      </c>
      <c r="I19" t="str">
        <f t="shared" si="9"/>
        <v>-3-10</v>
      </c>
      <c r="J19" t="str">
        <f t="shared" si="10"/>
        <v>-4-10</v>
      </c>
      <c r="K19" t="str">
        <f t="shared" si="11"/>
        <v>-5-10</v>
      </c>
      <c r="L19" t="str">
        <f t="shared" si="12"/>
        <v>-6-10</v>
      </c>
    </row>
    <row r="20" spans="1:20" x14ac:dyDescent="0.25">
      <c r="A20">
        <v>12</v>
      </c>
      <c r="B20">
        <v>0.75</v>
      </c>
      <c r="F20" t="str">
        <f t="shared" si="6"/>
        <v>-04-12</v>
      </c>
      <c r="G20" t="str">
        <f t="shared" si="7"/>
        <v>-06-12</v>
      </c>
      <c r="H20" t="str">
        <f t="shared" si="8"/>
        <v>-08-12</v>
      </c>
      <c r="I20" t="str">
        <f t="shared" si="9"/>
        <v>-3-12</v>
      </c>
      <c r="J20" t="str">
        <f t="shared" si="10"/>
        <v>-4-12</v>
      </c>
      <c r="K20" t="str">
        <f t="shared" si="11"/>
        <v>-5-12</v>
      </c>
      <c r="L20" t="str">
        <f t="shared" si="12"/>
        <v>-6-12</v>
      </c>
      <c r="M20" t="str">
        <f t="shared" ref="M20:M30" si="13">("-")&amp;$M$1&amp;("-")&amp;A20</f>
        <v>-7-12</v>
      </c>
      <c r="N20" t="str">
        <f t="shared" ref="N20:N30" si="14">("-")&amp;$N$1&amp;("-")&amp;A20</f>
        <v>-8-12</v>
      </c>
    </row>
    <row r="21" spans="1:20" x14ac:dyDescent="0.25">
      <c r="A21">
        <v>14</v>
      </c>
      <c r="B21">
        <v>0.875</v>
      </c>
      <c r="G21" t="str">
        <f t="shared" si="7"/>
        <v>-06-14</v>
      </c>
      <c r="H21" t="str">
        <f t="shared" si="8"/>
        <v>-08-14</v>
      </c>
      <c r="I21" t="str">
        <f t="shared" si="9"/>
        <v>-3-14</v>
      </c>
      <c r="J21" t="str">
        <f t="shared" si="10"/>
        <v>-4-14</v>
      </c>
      <c r="K21" t="str">
        <f t="shared" si="11"/>
        <v>-5-14</v>
      </c>
      <c r="L21" t="str">
        <f t="shared" si="12"/>
        <v>-6-14</v>
      </c>
      <c r="M21" t="str">
        <f t="shared" si="13"/>
        <v>-7-14</v>
      </c>
      <c r="N21" t="str">
        <f t="shared" si="14"/>
        <v>-8-14</v>
      </c>
    </row>
    <row r="22" spans="1:20" x14ac:dyDescent="0.25">
      <c r="A22">
        <v>16</v>
      </c>
      <c r="B22">
        <v>1</v>
      </c>
      <c r="G22" t="str">
        <f t="shared" si="7"/>
        <v>-06-16</v>
      </c>
      <c r="H22" t="str">
        <f t="shared" si="8"/>
        <v>-08-16</v>
      </c>
      <c r="I22" t="str">
        <f t="shared" si="9"/>
        <v>-3-16</v>
      </c>
      <c r="J22" t="str">
        <f t="shared" si="10"/>
        <v>-4-16</v>
      </c>
      <c r="K22" t="str">
        <f t="shared" si="11"/>
        <v>-5-16</v>
      </c>
      <c r="L22" t="str">
        <f t="shared" si="12"/>
        <v>-6-16</v>
      </c>
      <c r="M22" t="str">
        <f t="shared" si="13"/>
        <v>-7-16</v>
      </c>
      <c r="N22" t="str">
        <f t="shared" si="14"/>
        <v>-8-16</v>
      </c>
      <c r="O22" t="str">
        <f t="shared" ref="O22:O30" si="15">("-")&amp;$O$1&amp;("-")&amp;A22</f>
        <v>-10-16</v>
      </c>
    </row>
    <row r="23" spans="1:20" x14ac:dyDescent="0.25">
      <c r="A23">
        <v>20</v>
      </c>
      <c r="B23">
        <v>1.25</v>
      </c>
      <c r="H23" t="str">
        <f t="shared" si="8"/>
        <v>-08-20</v>
      </c>
      <c r="I23" t="str">
        <f t="shared" si="9"/>
        <v>-3-20</v>
      </c>
      <c r="J23" t="str">
        <f t="shared" si="10"/>
        <v>-4-20</v>
      </c>
      <c r="K23" t="str">
        <f t="shared" si="11"/>
        <v>-5-20</v>
      </c>
      <c r="L23" t="str">
        <f t="shared" si="12"/>
        <v>-6-20</v>
      </c>
      <c r="M23" t="str">
        <f t="shared" si="13"/>
        <v>-7-20</v>
      </c>
      <c r="N23" t="str">
        <f t="shared" si="14"/>
        <v>-8-20</v>
      </c>
      <c r="O23" t="str">
        <f t="shared" si="15"/>
        <v>-10-20</v>
      </c>
    </row>
    <row r="24" spans="1:20" x14ac:dyDescent="0.25">
      <c r="A24">
        <v>24</v>
      </c>
      <c r="B24">
        <v>1.5</v>
      </c>
      <c r="H24" t="str">
        <f t="shared" si="8"/>
        <v>-08-24</v>
      </c>
      <c r="I24" t="str">
        <f t="shared" si="9"/>
        <v>-3-24</v>
      </c>
      <c r="J24" t="str">
        <f t="shared" si="10"/>
        <v>-4-24</v>
      </c>
      <c r="K24" t="str">
        <f t="shared" si="11"/>
        <v>-5-24</v>
      </c>
      <c r="L24" t="str">
        <f t="shared" si="12"/>
        <v>-6-24</v>
      </c>
      <c r="M24" t="str">
        <f t="shared" si="13"/>
        <v>-7-24</v>
      </c>
      <c r="N24" t="str">
        <f t="shared" si="14"/>
        <v>-8-24</v>
      </c>
      <c r="O24" t="str">
        <f t="shared" si="15"/>
        <v>-10-24</v>
      </c>
      <c r="P24" t="str">
        <f t="shared" ref="P24:P32" si="16">("-")&amp;$P$1&amp;("-")&amp;A24</f>
        <v>-12-24</v>
      </c>
    </row>
    <row r="25" spans="1:20" x14ac:dyDescent="0.25">
      <c r="A25">
        <v>28</v>
      </c>
      <c r="B25">
        <v>1.75</v>
      </c>
      <c r="I25" t="str">
        <f t="shared" si="9"/>
        <v>-3-28</v>
      </c>
      <c r="J25" t="str">
        <f t="shared" si="10"/>
        <v>-4-28</v>
      </c>
      <c r="K25" t="str">
        <f t="shared" si="11"/>
        <v>-5-28</v>
      </c>
      <c r="L25" t="str">
        <f t="shared" si="12"/>
        <v>-6-28</v>
      </c>
      <c r="M25" t="str">
        <f t="shared" si="13"/>
        <v>-7-28</v>
      </c>
      <c r="N25" t="str">
        <f t="shared" si="14"/>
        <v>-8-28</v>
      </c>
      <c r="O25" t="str">
        <f t="shared" si="15"/>
        <v>-10-28</v>
      </c>
      <c r="P25" t="str">
        <f t="shared" si="16"/>
        <v>-12-28</v>
      </c>
    </row>
    <row r="26" spans="1:20" x14ac:dyDescent="0.25">
      <c r="A26">
        <v>32</v>
      </c>
      <c r="B26">
        <v>2</v>
      </c>
      <c r="I26" t="str">
        <f t="shared" si="9"/>
        <v>-3-32</v>
      </c>
      <c r="J26" t="str">
        <f t="shared" si="10"/>
        <v>-4-32</v>
      </c>
      <c r="K26" t="str">
        <f t="shared" si="11"/>
        <v>-5-32</v>
      </c>
      <c r="L26" t="str">
        <f t="shared" si="12"/>
        <v>-6-32</v>
      </c>
      <c r="M26" t="str">
        <f t="shared" si="13"/>
        <v>-7-32</v>
      </c>
      <c r="N26" t="str">
        <f t="shared" si="14"/>
        <v>-8-32</v>
      </c>
      <c r="O26" t="str">
        <f t="shared" si="15"/>
        <v>-10-32</v>
      </c>
      <c r="P26" t="str">
        <f t="shared" si="16"/>
        <v>-12-32</v>
      </c>
      <c r="Q26" t="str">
        <f t="shared" ref="Q26:Q34" si="17">("-")&amp;$Q$1&amp;("-")&amp;A26</f>
        <v>-14-32</v>
      </c>
    </row>
    <row r="27" spans="1:20" x14ac:dyDescent="0.25">
      <c r="A27">
        <v>36</v>
      </c>
      <c r="B27">
        <v>2.25</v>
      </c>
      <c r="J27" t="str">
        <f t="shared" si="10"/>
        <v>-4-36</v>
      </c>
      <c r="K27" t="str">
        <f t="shared" si="11"/>
        <v>-5-36</v>
      </c>
      <c r="L27" t="str">
        <f t="shared" si="12"/>
        <v>-6-36</v>
      </c>
      <c r="M27" t="str">
        <f t="shared" si="13"/>
        <v>-7-36</v>
      </c>
      <c r="N27" t="str">
        <f t="shared" si="14"/>
        <v>-8-36</v>
      </c>
      <c r="O27" t="str">
        <f t="shared" si="15"/>
        <v>-10-36</v>
      </c>
      <c r="P27" t="str">
        <f t="shared" si="16"/>
        <v>-12-36</v>
      </c>
      <c r="Q27" t="str">
        <f t="shared" si="17"/>
        <v>-14-36</v>
      </c>
    </row>
    <row r="28" spans="1:20" x14ac:dyDescent="0.25">
      <c r="A28">
        <v>40</v>
      </c>
      <c r="B28">
        <v>2.5</v>
      </c>
      <c r="K28" t="str">
        <f t="shared" si="11"/>
        <v>-5-40</v>
      </c>
      <c r="L28" t="str">
        <f t="shared" si="12"/>
        <v>-6-40</v>
      </c>
      <c r="M28" t="str">
        <f t="shared" si="13"/>
        <v>-7-40</v>
      </c>
      <c r="N28" t="str">
        <f t="shared" si="14"/>
        <v>-8-40</v>
      </c>
      <c r="O28" t="str">
        <f t="shared" si="15"/>
        <v>-10-40</v>
      </c>
      <c r="P28" t="str">
        <f t="shared" si="16"/>
        <v>-12-40</v>
      </c>
      <c r="Q28" t="str">
        <f t="shared" si="17"/>
        <v>-14-40</v>
      </c>
      <c r="R28" t="str">
        <f t="shared" ref="R28:R34" si="18">("-")&amp;$R$1&amp;("-")&amp;A28</f>
        <v>-16-40</v>
      </c>
    </row>
    <row r="29" spans="1:20" x14ac:dyDescent="0.25">
      <c r="A29">
        <v>44</v>
      </c>
      <c r="B29">
        <v>2.75</v>
      </c>
      <c r="L29" t="str">
        <f t="shared" si="12"/>
        <v>-6-44</v>
      </c>
      <c r="M29" t="str">
        <f t="shared" si="13"/>
        <v>-7-44</v>
      </c>
      <c r="N29" t="str">
        <f t="shared" si="14"/>
        <v>-8-44</v>
      </c>
      <c r="O29" t="str">
        <f t="shared" si="15"/>
        <v>-10-44</v>
      </c>
      <c r="P29" t="str">
        <f t="shared" si="16"/>
        <v>-12-44</v>
      </c>
      <c r="Q29" t="str">
        <f t="shared" si="17"/>
        <v>-14-44</v>
      </c>
      <c r="R29" t="str">
        <f t="shared" si="18"/>
        <v>-16-44</v>
      </c>
    </row>
    <row r="30" spans="1:20" x14ac:dyDescent="0.25">
      <c r="A30">
        <v>48</v>
      </c>
      <c r="B30">
        <v>3</v>
      </c>
      <c r="L30" t="str">
        <f t="shared" si="12"/>
        <v>-6-48</v>
      </c>
      <c r="M30" t="str">
        <f t="shared" si="13"/>
        <v>-7-48</v>
      </c>
      <c r="N30" t="str">
        <f t="shared" si="14"/>
        <v>-8-48</v>
      </c>
      <c r="O30" t="str">
        <f t="shared" si="15"/>
        <v>-10-48</v>
      </c>
      <c r="P30" t="str">
        <f t="shared" si="16"/>
        <v>-12-48</v>
      </c>
      <c r="Q30" t="str">
        <f t="shared" si="17"/>
        <v>-14-48</v>
      </c>
      <c r="R30" t="str">
        <f t="shared" si="18"/>
        <v>-16-48</v>
      </c>
      <c r="S30" t="str">
        <f t="shared" ref="S30:S34" si="19">("-")&amp;$S$1&amp;("-")&amp;A30</f>
        <v>-20-48</v>
      </c>
    </row>
    <row r="31" spans="1:20" x14ac:dyDescent="0.25">
      <c r="A31">
        <v>52</v>
      </c>
      <c r="B31">
        <v>3.25</v>
      </c>
      <c r="P31" t="str">
        <f t="shared" si="16"/>
        <v>-12-52</v>
      </c>
      <c r="Q31" t="str">
        <f t="shared" si="17"/>
        <v>-14-52</v>
      </c>
      <c r="R31" t="str">
        <f t="shared" si="18"/>
        <v>-16-52</v>
      </c>
      <c r="S31" t="str">
        <f t="shared" si="19"/>
        <v>-20-52</v>
      </c>
    </row>
    <row r="32" spans="1:20" x14ac:dyDescent="0.25">
      <c r="A32">
        <v>56</v>
      </c>
      <c r="B32">
        <v>3.5</v>
      </c>
      <c r="P32" t="str">
        <f t="shared" si="16"/>
        <v>-12-56</v>
      </c>
      <c r="Q32" t="str">
        <f t="shared" si="17"/>
        <v>-14-56</v>
      </c>
      <c r="R32" t="str">
        <f t="shared" si="18"/>
        <v>-16-56</v>
      </c>
      <c r="S32" t="str">
        <f t="shared" si="19"/>
        <v>-20-56</v>
      </c>
      <c r="T32" t="str">
        <f t="shared" ref="T32:T34" si="20">("-")&amp;$T$1&amp;("-")&amp;A32</f>
        <v>-24-56</v>
      </c>
    </row>
    <row r="33" spans="1:20" x14ac:dyDescent="0.25">
      <c r="A33">
        <v>64</v>
      </c>
      <c r="B33">
        <v>4</v>
      </c>
      <c r="Q33" t="str">
        <f t="shared" si="17"/>
        <v>-14-64</v>
      </c>
      <c r="R33" t="str">
        <f t="shared" si="18"/>
        <v>-16-64</v>
      </c>
      <c r="S33" t="str">
        <f t="shared" si="19"/>
        <v>-20-64</v>
      </c>
      <c r="T33" t="str">
        <f t="shared" si="20"/>
        <v>-24-64</v>
      </c>
    </row>
    <row r="34" spans="1:20" x14ac:dyDescent="0.25">
      <c r="A34">
        <v>72</v>
      </c>
      <c r="B34">
        <v>4.5</v>
      </c>
      <c r="Q34" t="str">
        <f t="shared" si="17"/>
        <v>-14-72</v>
      </c>
      <c r="R34" t="str">
        <f t="shared" si="18"/>
        <v>-16-72</v>
      </c>
      <c r="S34" t="str">
        <f t="shared" si="19"/>
        <v>-20-72</v>
      </c>
      <c r="T34" t="str">
        <f t="shared" si="20"/>
        <v>-24-72</v>
      </c>
    </row>
    <row r="35" spans="1:20" x14ac:dyDescent="0.25">
      <c r="A35">
        <v>80</v>
      </c>
      <c r="B35">
        <v>5</v>
      </c>
      <c r="R35" t="str">
        <f>("-")&amp;$R$1&amp;("-")&amp;A35</f>
        <v>-16-80</v>
      </c>
      <c r="S35" t="str">
        <f>("-")&amp;$S$1&amp;("-")&amp;A35</f>
        <v>-20-80</v>
      </c>
      <c r="T35" t="str">
        <f>("-")&amp;$T$1&amp;("-")&amp;A35</f>
        <v>-24-80</v>
      </c>
    </row>
    <row r="36" spans="1:20" x14ac:dyDescent="0.25">
      <c r="A36">
        <v>88</v>
      </c>
      <c r="B36">
        <v>5.5</v>
      </c>
      <c r="S36" t="str">
        <f t="shared" ref="S36:S37" si="21">("-")&amp;$S$1&amp;("-")&amp;A36</f>
        <v>-20-88</v>
      </c>
      <c r="T36" t="str">
        <f t="shared" ref="T36:T37" si="22">("-")&amp;$T$1&amp;("-")&amp;A36</f>
        <v>-24-88</v>
      </c>
    </row>
    <row r="37" spans="1:20" x14ac:dyDescent="0.25">
      <c r="A37">
        <v>96</v>
      </c>
      <c r="B37">
        <v>6</v>
      </c>
      <c r="S37" t="str">
        <f t="shared" si="21"/>
        <v>-20-96</v>
      </c>
      <c r="T37" t="str">
        <f t="shared" si="22"/>
        <v>-24-96</v>
      </c>
    </row>
    <row r="42" spans="1:20" x14ac:dyDescent="0.25">
      <c r="A42" t="s">
        <v>6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2"/>
  <sheetViews>
    <sheetView topLeftCell="F1" workbookViewId="0">
      <selection activeCell="K9" sqref="K9"/>
    </sheetView>
  </sheetViews>
  <sheetFormatPr defaultRowHeight="15" x14ac:dyDescent="0.25"/>
  <cols>
    <col min="1" max="1" width="11.7109375" bestFit="1" customWidth="1"/>
    <col min="2" max="2" width="24.85546875" bestFit="1" customWidth="1"/>
    <col min="3" max="3" width="17.5703125" bestFit="1" customWidth="1"/>
    <col min="4" max="4" width="17.7109375" bestFit="1" customWidth="1"/>
    <col min="5" max="5" width="13.7109375" bestFit="1" customWidth="1"/>
    <col min="6" max="6" width="12" bestFit="1" customWidth="1"/>
    <col min="7" max="7" width="17.42578125" bestFit="1" customWidth="1"/>
    <col min="8" max="8" width="10.5703125" bestFit="1" customWidth="1"/>
    <col min="9" max="9" width="10.5703125" customWidth="1"/>
    <col min="10" max="10" width="17.85546875" bestFit="1" customWidth="1"/>
    <col min="12" max="12" width="15.140625" bestFit="1" customWidth="1"/>
    <col min="13" max="13" width="20.42578125" bestFit="1" customWidth="1"/>
    <col min="22" max="22" width="26.42578125" bestFit="1" customWidth="1"/>
  </cols>
  <sheetData>
    <row r="1" spans="1:38" x14ac:dyDescent="0.25">
      <c r="N1" t="s">
        <v>31</v>
      </c>
      <c r="O1">
        <v>2</v>
      </c>
      <c r="P1">
        <v>3</v>
      </c>
      <c r="Q1">
        <v>4</v>
      </c>
      <c r="R1">
        <v>6</v>
      </c>
      <c r="S1">
        <v>8</v>
      </c>
      <c r="T1">
        <v>10</v>
      </c>
      <c r="U1">
        <v>12</v>
      </c>
      <c r="V1">
        <v>14</v>
      </c>
      <c r="W1">
        <v>16</v>
      </c>
      <c r="X1">
        <v>20</v>
      </c>
      <c r="Y1">
        <v>24</v>
      </c>
      <c r="Z1">
        <v>28</v>
      </c>
      <c r="AA1">
        <v>32</v>
      </c>
      <c r="AB1">
        <v>36</v>
      </c>
      <c r="AC1">
        <v>40</v>
      </c>
      <c r="AD1">
        <v>44</v>
      </c>
      <c r="AE1">
        <v>48</v>
      </c>
      <c r="AF1">
        <v>52</v>
      </c>
      <c r="AG1">
        <v>56</v>
      </c>
      <c r="AH1">
        <v>64</v>
      </c>
      <c r="AI1">
        <v>72</v>
      </c>
      <c r="AJ1">
        <v>80</v>
      </c>
      <c r="AK1">
        <v>88</v>
      </c>
      <c r="AL1">
        <v>96</v>
      </c>
    </row>
    <row r="2" spans="1:38" x14ac:dyDescent="0.25">
      <c r="A2" t="s">
        <v>7</v>
      </c>
      <c r="B2" t="s">
        <v>0</v>
      </c>
      <c r="C2" t="s">
        <v>2</v>
      </c>
      <c r="D2" t="s">
        <v>26</v>
      </c>
      <c r="E2" t="s">
        <v>3</v>
      </c>
      <c r="F2" t="s">
        <v>27</v>
      </c>
      <c r="G2" t="s">
        <v>28</v>
      </c>
      <c r="H2" t="s">
        <v>30</v>
      </c>
      <c r="J2" t="s">
        <v>29</v>
      </c>
      <c r="K2" t="s">
        <v>1</v>
      </c>
      <c r="L2" t="s">
        <v>32</v>
      </c>
      <c r="M2" t="s">
        <v>4</v>
      </c>
      <c r="N2" t="s">
        <v>5</v>
      </c>
      <c r="O2">
        <v>0.125</v>
      </c>
      <c r="P2">
        <v>0.188</v>
      </c>
      <c r="Q2">
        <v>0.25</v>
      </c>
      <c r="R2">
        <v>0.375</v>
      </c>
      <c r="S2">
        <v>0.5</v>
      </c>
      <c r="T2">
        <v>0.625</v>
      </c>
      <c r="U2">
        <v>0.75</v>
      </c>
      <c r="V2">
        <v>0.875</v>
      </c>
      <c r="W2">
        <v>1</v>
      </c>
      <c r="X2">
        <v>1.25</v>
      </c>
      <c r="Y2">
        <v>1.5</v>
      </c>
      <c r="Z2">
        <v>1.75</v>
      </c>
      <c r="AA2">
        <v>2</v>
      </c>
      <c r="AB2">
        <v>2.25</v>
      </c>
      <c r="AC2">
        <v>2.5</v>
      </c>
      <c r="AD2">
        <v>2.75</v>
      </c>
      <c r="AE2">
        <v>3</v>
      </c>
      <c r="AF2">
        <v>3.25</v>
      </c>
      <c r="AG2">
        <v>3.5</v>
      </c>
      <c r="AH2">
        <v>4</v>
      </c>
      <c r="AI2">
        <v>4.5</v>
      </c>
      <c r="AJ2">
        <v>5</v>
      </c>
      <c r="AK2">
        <v>5.5</v>
      </c>
      <c r="AL2">
        <v>6</v>
      </c>
    </row>
    <row r="3" spans="1:38" x14ac:dyDescent="0.25">
      <c r="A3" s="2" t="s">
        <v>8</v>
      </c>
      <c r="B3" s="1">
        <v>7.2999999999999995E-2</v>
      </c>
      <c r="C3">
        <f>+B3</f>
        <v>7.2999999999999995E-2</v>
      </c>
      <c r="D3">
        <v>0.11799999999999999</v>
      </c>
      <c r="E3">
        <f>+C3</f>
        <v>7.2999999999999995E-2</v>
      </c>
      <c r="F3">
        <v>6.2E-2</v>
      </c>
      <c r="G3">
        <v>3.1E-2</v>
      </c>
      <c r="H3">
        <v>3.0000000000000001E-3</v>
      </c>
      <c r="J3">
        <v>6.6000000000000003E-2</v>
      </c>
      <c r="K3">
        <v>64</v>
      </c>
      <c r="L3">
        <v>0.625</v>
      </c>
      <c r="M3">
        <v>210</v>
      </c>
      <c r="O3" t="str">
        <f>("-")&amp;$A$3&amp;("-")&amp;O1</f>
        <v>-01-2</v>
      </c>
      <c r="P3" t="str">
        <f>("-")&amp;$A$3&amp;("-")&amp;P1</f>
        <v>-01-3</v>
      </c>
      <c r="Q3" t="str">
        <f>("-")&amp;$A$3&amp;("-")&amp;Q1</f>
        <v>-01-4</v>
      </c>
      <c r="R3" t="str">
        <f>("-")&amp;$A$3&amp;("-")&amp;R1</f>
        <v>-01-6</v>
      </c>
    </row>
    <row r="4" spans="1:38" x14ac:dyDescent="0.25">
      <c r="A4" s="2" t="s">
        <v>9</v>
      </c>
      <c r="B4" s="1">
        <v>8.5999999999999993E-2</v>
      </c>
      <c r="C4">
        <f>+B4</f>
        <v>8.5999999999999993E-2</v>
      </c>
      <c r="D4">
        <v>0.14000000000000001</v>
      </c>
      <c r="E4">
        <f>+C4</f>
        <v>8.5999999999999993E-2</v>
      </c>
      <c r="F4">
        <v>7.8E-2</v>
      </c>
      <c r="G4">
        <v>3.7999999999999999E-2</v>
      </c>
      <c r="H4">
        <v>3.0000000000000001E-3</v>
      </c>
      <c r="J4">
        <v>7.6999999999999999E-2</v>
      </c>
      <c r="K4">
        <v>56</v>
      </c>
      <c r="L4">
        <v>0.625</v>
      </c>
      <c r="M4">
        <v>300</v>
      </c>
      <c r="P4" t="str">
        <f>("-")&amp;$A$4&amp;("-")&amp;P1</f>
        <v>-02-3</v>
      </c>
      <c r="Q4" t="str">
        <f>("-")&amp;$A$4&amp;("-")&amp;Q1</f>
        <v>-02-4</v>
      </c>
      <c r="R4" t="str">
        <f>("-")&amp;$A$4&amp;("-")&amp;R1</f>
        <v>-02-6</v>
      </c>
      <c r="S4" t="str">
        <f>("-")&amp;$A$4&amp;("-")&amp;S1</f>
        <v>-02-8</v>
      </c>
    </row>
    <row r="5" spans="1:38" x14ac:dyDescent="0.25">
      <c r="A5" s="2" t="s">
        <v>10</v>
      </c>
      <c r="B5" s="1">
        <v>9.9000000000000005E-2</v>
      </c>
      <c r="C5">
        <f>+B5</f>
        <v>9.9000000000000005E-2</v>
      </c>
      <c r="D5">
        <v>0.161</v>
      </c>
      <c r="E5">
        <f>+C5</f>
        <v>9.9000000000000005E-2</v>
      </c>
      <c r="F5">
        <v>7.8E-2</v>
      </c>
      <c r="G5">
        <v>4.3999999999999997E-2</v>
      </c>
      <c r="H5">
        <v>3.0000000000000001E-3</v>
      </c>
      <c r="J5">
        <v>8.8999999999999996E-2</v>
      </c>
      <c r="K5">
        <v>48</v>
      </c>
      <c r="L5">
        <v>0.625</v>
      </c>
      <c r="M5">
        <v>390</v>
      </c>
      <c r="Q5" t="str">
        <f>("-")&amp;$A$5&amp;("-")&amp;Q1</f>
        <v>-03-4</v>
      </c>
      <c r="R5" t="str">
        <f>("-")&amp;$A$5&amp;("-")&amp;R1</f>
        <v>-03-6</v>
      </c>
      <c r="S5" t="str">
        <f>("-")&amp;$A$5&amp;("-")&amp;S1</f>
        <v>-03-8</v>
      </c>
      <c r="T5" t="str">
        <f>("-")&amp;$A$5&amp;("-")&amp;T1</f>
        <v>-03-10</v>
      </c>
    </row>
    <row r="6" spans="1:38" x14ac:dyDescent="0.25">
      <c r="A6" s="2" t="s">
        <v>11</v>
      </c>
      <c r="B6" s="1">
        <v>0.112</v>
      </c>
      <c r="C6">
        <f>+B6</f>
        <v>0.112</v>
      </c>
      <c r="D6">
        <v>0.183</v>
      </c>
      <c r="E6">
        <f>+C6</f>
        <v>0.112</v>
      </c>
      <c r="F6">
        <v>9.4E-2</v>
      </c>
      <c r="G6">
        <v>5.0999999999999997E-2</v>
      </c>
      <c r="H6">
        <v>5.0000000000000001E-3</v>
      </c>
      <c r="J6">
        <v>0.10100000000000001</v>
      </c>
      <c r="K6">
        <v>40</v>
      </c>
      <c r="L6">
        <v>0.75</v>
      </c>
      <c r="M6">
        <v>480</v>
      </c>
      <c r="Q6" t="str">
        <f>("-")&amp;$A$6&amp;("-")&amp;Q1</f>
        <v>-04-4</v>
      </c>
      <c r="R6" t="str">
        <f>("-")&amp;$A$6&amp;("-")&amp;R1</f>
        <v>-04-6</v>
      </c>
      <c r="S6" t="str">
        <f>("-")&amp;$A$6&amp;("-")&amp;S1</f>
        <v>-04-8</v>
      </c>
      <c r="T6" t="str">
        <f>("-")&amp;$A$6&amp;("-")&amp;T1</f>
        <v>-04-10</v>
      </c>
      <c r="U6" t="str">
        <f>("-")&amp;$A$6&amp;("-")&amp;U1</f>
        <v>-04-12</v>
      </c>
    </row>
    <row r="7" spans="1:38" x14ac:dyDescent="0.25">
      <c r="A7" s="2" t="s">
        <v>12</v>
      </c>
      <c r="B7" s="1">
        <v>0.13800000000000001</v>
      </c>
      <c r="C7">
        <f>+B7</f>
        <v>0.13800000000000001</v>
      </c>
      <c r="D7">
        <v>0.22600000000000001</v>
      </c>
      <c r="E7">
        <f>+C7</f>
        <v>0.13800000000000001</v>
      </c>
      <c r="F7">
        <v>0.109</v>
      </c>
      <c r="G7">
        <v>6.4000000000000001E-2</v>
      </c>
      <c r="H7">
        <v>5.0000000000000001E-3</v>
      </c>
      <c r="J7">
        <v>0.124</v>
      </c>
      <c r="K7">
        <v>32</v>
      </c>
      <c r="L7">
        <v>0.75</v>
      </c>
      <c r="M7">
        <v>730</v>
      </c>
      <c r="Q7" t="str">
        <f>("-")&amp;$A$7&amp;("-")&amp;Q1</f>
        <v>-06-4</v>
      </c>
      <c r="R7" t="str">
        <f>("-")&amp;$A$7&amp;("-")&amp;R1</f>
        <v>-06-6</v>
      </c>
      <c r="S7" t="str">
        <f>("-")&amp;$A$7&amp;("-")&amp;S1</f>
        <v>-06-8</v>
      </c>
      <c r="T7" t="str">
        <f>("-")&amp;$A$7&amp;("-")&amp;T1</f>
        <v>-06-10</v>
      </c>
      <c r="U7" t="str">
        <f>("-")&amp;$A$7&amp;("-")&amp;U1</f>
        <v>-06-12</v>
      </c>
      <c r="V7" t="str">
        <f>("-")&amp;$A$7&amp;("-")&amp;V1</f>
        <v>-06-14</v>
      </c>
      <c r="W7" t="str">
        <f>("-")&amp;$A$7&amp;("-")&amp;W1</f>
        <v>-06-16</v>
      </c>
    </row>
    <row r="8" spans="1:38" x14ac:dyDescent="0.25">
      <c r="A8" s="2" t="s">
        <v>13</v>
      </c>
      <c r="B8" s="1">
        <v>0.16400000000000001</v>
      </c>
      <c r="C8">
        <f>+B8</f>
        <v>0.16400000000000001</v>
      </c>
      <c r="D8">
        <v>0.27</v>
      </c>
      <c r="E8">
        <f>+C8</f>
        <v>0.16400000000000001</v>
      </c>
      <c r="F8">
        <v>0.14099999999999999</v>
      </c>
      <c r="G8">
        <v>7.6999999999999999E-2</v>
      </c>
      <c r="H8">
        <v>5.0000000000000001E-3</v>
      </c>
      <c r="J8">
        <v>0.14799999999999999</v>
      </c>
      <c r="K8">
        <v>32</v>
      </c>
      <c r="L8">
        <v>0.875</v>
      </c>
      <c r="M8">
        <v>1120</v>
      </c>
      <c r="Q8" t="str">
        <f>("-")&amp;$A$8&amp;("-")&amp;Q1</f>
        <v>-08-4</v>
      </c>
      <c r="R8" t="str">
        <f>("-")&amp;$A$8&amp;("-")&amp;R1</f>
        <v>-08-6</v>
      </c>
      <c r="S8" t="str">
        <f>("-")&amp;$A$8&amp;("-")&amp;S1</f>
        <v>-08-8</v>
      </c>
      <c r="T8" t="str">
        <f>("-")&amp;$A$8&amp;("-")&amp;T1</f>
        <v>-08-10</v>
      </c>
      <c r="U8" t="str">
        <f>("-")&amp;$A$8&amp;("-")&amp;U1</f>
        <v>-08-12</v>
      </c>
      <c r="V8" t="str">
        <f>("-")&amp;$A$8&amp;("-")&amp;V1</f>
        <v>-08-14</v>
      </c>
      <c r="W8" t="str">
        <f>("-")&amp;$A$8&amp;("-")&amp;W1</f>
        <v>-08-16</v>
      </c>
      <c r="X8" t="str">
        <f>("-")&amp;$A$8&amp;("-")&amp;X1</f>
        <v>-08-20</v>
      </c>
      <c r="Y8" t="str">
        <f>("-")&amp;$A$8&amp;("-")&amp;Y1</f>
        <v>-08-24</v>
      </c>
    </row>
    <row r="9" spans="1:38" s="5" customFormat="1" x14ac:dyDescent="0.25">
      <c r="A9" s="3" t="s">
        <v>14</v>
      </c>
      <c r="B9" s="4">
        <v>0.19</v>
      </c>
      <c r="C9" s="5">
        <f>+B9</f>
        <v>0.19</v>
      </c>
      <c r="D9" s="5">
        <v>0.312</v>
      </c>
      <c r="E9" s="5">
        <f>+C9</f>
        <v>0.19</v>
      </c>
      <c r="F9" s="5">
        <v>0.156</v>
      </c>
      <c r="G9" s="5">
        <v>0.09</v>
      </c>
      <c r="H9" s="5">
        <v>5.0000000000000001E-3</v>
      </c>
      <c r="J9" s="5">
        <v>0.17100000000000001</v>
      </c>
      <c r="K9" s="5">
        <v>24</v>
      </c>
      <c r="L9" s="5">
        <v>0.875</v>
      </c>
      <c r="M9" s="5">
        <v>1400</v>
      </c>
      <c r="R9" s="5" t="str">
        <f>("-")&amp;$A$9&amp;("-")&amp;R1</f>
        <v>-3-6</v>
      </c>
      <c r="S9" s="5" t="str">
        <f>("-")&amp;$A$9&amp;("-")&amp;S1</f>
        <v>-3-8</v>
      </c>
      <c r="T9" s="5" t="str">
        <f>("-")&amp;$A$9&amp;("-")&amp;T1</f>
        <v>-3-10</v>
      </c>
      <c r="U9" s="5" t="str">
        <f>("-")&amp;$A$9&amp;("-")&amp;U1</f>
        <v>-3-12</v>
      </c>
      <c r="V9" s="5" t="str">
        <f>("-")&amp;$A$9&amp;("-")&amp;V1</f>
        <v>-3-14</v>
      </c>
      <c r="W9" s="5" t="str">
        <f>("-")&amp;$A$9&amp;("-")&amp;W1</f>
        <v>-3-16</v>
      </c>
      <c r="X9" s="5" t="str">
        <f>("-")&amp;$A$9&amp;("-")&amp;X1</f>
        <v>-3-20</v>
      </c>
      <c r="Y9" s="5" t="str">
        <f>("-")&amp;$A$9&amp;("-")&amp;Y1</f>
        <v>-3-24</v>
      </c>
      <c r="Z9" s="5" t="str">
        <f>("-")&amp;$A$9&amp;("-")&amp;Z1</f>
        <v>-3-28</v>
      </c>
      <c r="AA9" s="5" t="str">
        <f>("-")&amp;$A$9&amp;("-")&amp;AA1</f>
        <v>-3-32</v>
      </c>
    </row>
    <row r="10" spans="1:38" s="5" customFormat="1" x14ac:dyDescent="0.25">
      <c r="A10" s="3" t="s">
        <v>15</v>
      </c>
      <c r="B10" s="4">
        <v>0.25</v>
      </c>
      <c r="C10" s="5">
        <f>+B10</f>
        <v>0.25</v>
      </c>
      <c r="D10" s="5">
        <v>0.375</v>
      </c>
      <c r="E10" s="5">
        <f>+C10</f>
        <v>0.25</v>
      </c>
      <c r="F10" s="5">
        <v>0.188</v>
      </c>
      <c r="G10" s="5">
        <v>0.12</v>
      </c>
      <c r="H10" s="5">
        <v>8.0000000000000002E-3</v>
      </c>
      <c r="J10" s="5">
        <v>0.22500000000000001</v>
      </c>
      <c r="K10" s="5">
        <v>20</v>
      </c>
      <c r="L10" s="5">
        <v>1</v>
      </c>
      <c r="M10" s="5">
        <v>2540</v>
      </c>
      <c r="R10" s="5" t="str">
        <f>("-")&amp;$A$10&amp;("-")&amp;R1</f>
        <v>-4-6</v>
      </c>
      <c r="S10" s="5" t="str">
        <f>("-")&amp;$A$10&amp;("-")&amp;S1</f>
        <v>-4-8</v>
      </c>
      <c r="T10" s="5" t="str">
        <f>("-")&amp;$A$10&amp;("-")&amp;T1</f>
        <v>-4-10</v>
      </c>
      <c r="U10" s="5" t="str">
        <f>("-")&amp;$A$10&amp;("-")&amp;U1</f>
        <v>-4-12</v>
      </c>
      <c r="V10" s="5" t="str">
        <f>("-")&amp;$A$10&amp;("-")&amp;V1</f>
        <v>-4-14</v>
      </c>
      <c r="W10" s="5" t="str">
        <f>("-")&amp;$A$10&amp;("-")&amp;W1</f>
        <v>-4-16</v>
      </c>
      <c r="X10" s="5" t="str">
        <f>("-")&amp;$A$10&amp;("-")&amp;X1</f>
        <v>-4-20</v>
      </c>
      <c r="Y10" s="5" t="str">
        <f>("-")&amp;$A$10&amp;("-")&amp;Y1</f>
        <v>-4-24</v>
      </c>
      <c r="Z10" s="5" t="str">
        <f>("-")&amp;$A$10&amp;("-")&amp;Z1</f>
        <v>-4-28</v>
      </c>
      <c r="AA10" s="5" t="str">
        <f>("-")&amp;$A$10&amp;("-")&amp;AA1</f>
        <v>-4-32</v>
      </c>
      <c r="AB10" s="5" t="str">
        <f>("-")&amp;$A$10&amp;("-")&amp;AB1</f>
        <v>-4-36</v>
      </c>
    </row>
    <row r="11" spans="1:38" x14ac:dyDescent="0.25">
      <c r="A11" s="2" t="s">
        <v>16</v>
      </c>
      <c r="B11" s="1">
        <v>0.3125</v>
      </c>
      <c r="C11">
        <f>+B11</f>
        <v>0.3125</v>
      </c>
      <c r="D11">
        <v>0.46899999999999997</v>
      </c>
      <c r="E11">
        <f>+C11</f>
        <v>0.3125</v>
      </c>
      <c r="F11">
        <v>0.25</v>
      </c>
      <c r="G11">
        <v>0.151</v>
      </c>
      <c r="H11">
        <v>8.0000000000000002E-3</v>
      </c>
      <c r="J11">
        <v>0.28100000000000003</v>
      </c>
      <c r="K11">
        <v>18</v>
      </c>
      <c r="L11">
        <v>1.125</v>
      </c>
      <c r="M11">
        <v>4190</v>
      </c>
      <c r="R11" t="str">
        <f>("-")&amp;$A$11&amp;("-")&amp;R1</f>
        <v>-5-6</v>
      </c>
      <c r="S11" t="str">
        <f>("-")&amp;$A$11&amp;("-")&amp;S1</f>
        <v>-5-8</v>
      </c>
      <c r="T11" t="str">
        <f>("-")&amp;$A$11&amp;("-")&amp;T1</f>
        <v>-5-10</v>
      </c>
      <c r="U11" t="str">
        <f>("-")&amp;$A$11&amp;("-")&amp;U1</f>
        <v>-5-12</v>
      </c>
      <c r="V11" t="str">
        <f>("-")&amp;$A$11&amp;("-")&amp;V1</f>
        <v>-5-14</v>
      </c>
      <c r="W11" t="str">
        <f>("-")&amp;$A$11&amp;("-")&amp;W1</f>
        <v>-5-16</v>
      </c>
      <c r="X11" t="str">
        <f>("-")&amp;$A$11&amp;("-")&amp;X1</f>
        <v>-5-20</v>
      </c>
      <c r="Y11" t="str">
        <f>("-")&amp;$A$11&amp;("-")&amp;Y1</f>
        <v>-5-24</v>
      </c>
      <c r="Z11" t="str">
        <f>("-")&amp;$A$11&amp;("-")&amp;Z1</f>
        <v>-5-28</v>
      </c>
      <c r="AA11" t="str">
        <f>("-")&amp;$A$11&amp;("-")&amp;AA1</f>
        <v>-5-32</v>
      </c>
      <c r="AB11" t="str">
        <f>("-")&amp;$A$11&amp;("-")&amp;AB1</f>
        <v>-5-36</v>
      </c>
      <c r="AC11" t="str">
        <f>("-")&amp;$A$11&amp;("-")&amp;AC1</f>
        <v>-5-40</v>
      </c>
    </row>
    <row r="12" spans="1:38" x14ac:dyDescent="0.25">
      <c r="A12" s="2" t="s">
        <v>17</v>
      </c>
      <c r="B12" s="1">
        <v>0.375</v>
      </c>
      <c r="C12">
        <f>+B12</f>
        <v>0.375</v>
      </c>
      <c r="D12">
        <v>0.56200000000000006</v>
      </c>
      <c r="E12">
        <f>+C12</f>
        <v>0.375</v>
      </c>
      <c r="F12">
        <v>0.312</v>
      </c>
      <c r="G12">
        <v>0.182</v>
      </c>
      <c r="H12">
        <v>8.0000000000000002E-3</v>
      </c>
      <c r="J12">
        <v>0.33700000000000002</v>
      </c>
      <c r="K12">
        <v>16</v>
      </c>
      <c r="L12">
        <v>1.25</v>
      </c>
      <c r="M12">
        <v>6200</v>
      </c>
      <c r="S12" t="str">
        <f>("-")&amp;$A$12&amp;("-")&amp;S1</f>
        <v>-6-8</v>
      </c>
      <c r="T12" t="str">
        <f>("-")&amp;$A$12&amp;("-")&amp;T1</f>
        <v>-6-10</v>
      </c>
      <c r="U12" t="str">
        <f>("-")&amp;$A$12&amp;("-")&amp;U1</f>
        <v>-6-12</v>
      </c>
      <c r="V12" t="str">
        <f>("-")&amp;$A$12&amp;("-")&amp;V1</f>
        <v>-6-14</v>
      </c>
      <c r="W12" t="str">
        <f>("-")&amp;$A$12&amp;("-")&amp;W1</f>
        <v>-6-16</v>
      </c>
      <c r="X12" t="str">
        <f>("-")&amp;$A$12&amp;("-")&amp;X1</f>
        <v>-6-20</v>
      </c>
      <c r="Y12" t="str">
        <f>("-")&amp;$A$12&amp;("-")&amp;Y1</f>
        <v>-6-24</v>
      </c>
      <c r="Z12" t="str">
        <f>("-")&amp;$A$12&amp;("-")&amp;Z1</f>
        <v>-6-28</v>
      </c>
      <c r="AA12" t="str">
        <f>("-")&amp;$A$12&amp;("-")&amp;AA1</f>
        <v>-6-32</v>
      </c>
      <c r="AB12" t="str">
        <f>("-")&amp;$A$12&amp;("-")&amp;AB1</f>
        <v>-6-36</v>
      </c>
      <c r="AC12" t="str">
        <f>("-")&amp;$A$12&amp;("-")&amp;AC1</f>
        <v>-6-40</v>
      </c>
      <c r="AD12" t="str">
        <f>("-")&amp;$A$12&amp;("-")&amp;AD1</f>
        <v>-6-44</v>
      </c>
      <c r="AE12" t="str">
        <f>("-")&amp;$A$12&amp;("-")&amp;AE1</f>
        <v>-6-48</v>
      </c>
    </row>
    <row r="13" spans="1:38" x14ac:dyDescent="0.25">
      <c r="A13" s="2" t="s">
        <v>19</v>
      </c>
      <c r="B13" s="1">
        <v>0.4375</v>
      </c>
      <c r="C13">
        <f>+B13</f>
        <v>0.4375</v>
      </c>
      <c r="D13">
        <v>0.65600000000000003</v>
      </c>
      <c r="E13">
        <f>+C13</f>
        <v>0.4375</v>
      </c>
      <c r="F13">
        <v>0.375</v>
      </c>
      <c r="G13">
        <v>0.21299999999999999</v>
      </c>
      <c r="H13">
        <v>0.01</v>
      </c>
      <c r="J13">
        <v>0.39400000000000002</v>
      </c>
      <c r="K13">
        <v>14</v>
      </c>
      <c r="L13">
        <v>1.375</v>
      </c>
      <c r="M13">
        <v>8500</v>
      </c>
      <c r="U13" t="str">
        <f>("-")&amp;$A$13&amp;("-")&amp;U1</f>
        <v>-7-12</v>
      </c>
      <c r="V13" t="str">
        <f>("-")&amp;$A$13&amp;("-")&amp;V1</f>
        <v>-7-14</v>
      </c>
      <c r="W13" t="str">
        <f>("-")&amp;$A$13&amp;("-")&amp;W1</f>
        <v>-7-16</v>
      </c>
      <c r="X13" t="str">
        <f>("-")&amp;$A$13&amp;("-")&amp;X1</f>
        <v>-7-20</v>
      </c>
      <c r="Y13" t="str">
        <f>("-")&amp;$A$13&amp;("-")&amp;Y1</f>
        <v>-7-24</v>
      </c>
      <c r="Z13" t="str">
        <f>("-")&amp;$A$13&amp;("-")&amp;Z1</f>
        <v>-7-28</v>
      </c>
      <c r="AA13" t="str">
        <f>("-")&amp;$A$13&amp;("-")&amp;AA1</f>
        <v>-7-32</v>
      </c>
      <c r="AB13" t="str">
        <f>("-")&amp;$A$13&amp;("-")&amp;AB1</f>
        <v>-7-36</v>
      </c>
      <c r="AC13" t="str">
        <f>("-")&amp;$A$13&amp;("-")&amp;AC1</f>
        <v>-7-40</v>
      </c>
      <c r="AD13" t="str">
        <f>("-")&amp;$A$13&amp;("-")&amp;AD1</f>
        <v>-7-44</v>
      </c>
      <c r="AE13" t="str">
        <f>("-")&amp;$A$13&amp;("-")&amp;AE1</f>
        <v>-7-48</v>
      </c>
    </row>
    <row r="14" spans="1:38" x14ac:dyDescent="0.25">
      <c r="A14" s="2" t="s">
        <v>18</v>
      </c>
      <c r="B14" s="1">
        <v>0.5</v>
      </c>
      <c r="C14">
        <f>+B14</f>
        <v>0.5</v>
      </c>
      <c r="D14">
        <v>0.75</v>
      </c>
      <c r="E14">
        <f>+C14</f>
        <v>0.5</v>
      </c>
      <c r="F14">
        <v>0.375</v>
      </c>
      <c r="G14">
        <v>0.245</v>
      </c>
      <c r="H14">
        <v>0.01</v>
      </c>
      <c r="J14">
        <v>0.45</v>
      </c>
      <c r="K14">
        <v>13</v>
      </c>
      <c r="L14">
        <v>1.5</v>
      </c>
      <c r="M14">
        <v>11300</v>
      </c>
      <c r="U14" t="str">
        <f>("-")&amp;$A$14&amp;("-")&amp;U1</f>
        <v>-8-12</v>
      </c>
      <c r="V14" t="str">
        <f>("-")&amp;$A$14&amp;("-")&amp;V1</f>
        <v>-8-14</v>
      </c>
      <c r="W14" t="str">
        <f>("-")&amp;$A$14&amp;("-")&amp;W1</f>
        <v>-8-16</v>
      </c>
      <c r="X14" t="str">
        <f>("-")&amp;$A$14&amp;("-")&amp;X1</f>
        <v>-8-20</v>
      </c>
      <c r="Y14" t="str">
        <f>("-")&amp;$A$14&amp;("-")&amp;Y1</f>
        <v>-8-24</v>
      </c>
      <c r="Z14" t="str">
        <f>("-")&amp;$A$14&amp;("-")&amp;Z1</f>
        <v>-8-28</v>
      </c>
      <c r="AA14" t="str">
        <f>("-")&amp;$A$14&amp;("-")&amp;AA1</f>
        <v>-8-32</v>
      </c>
      <c r="AB14" t="str">
        <f>("-")&amp;$A$14&amp;("-")&amp;AB1</f>
        <v>-8-36</v>
      </c>
      <c r="AC14" t="str">
        <f>("-")&amp;$A$14&amp;("-")&amp;AC1</f>
        <v>-8-40</v>
      </c>
      <c r="AD14" t="str">
        <f>("-")&amp;$A$14&amp;("-")&amp;AD1</f>
        <v>-8-44</v>
      </c>
      <c r="AE14" t="str">
        <f>("-")&amp;$A$14&amp;("-")&amp;AE1</f>
        <v>-8-48</v>
      </c>
    </row>
    <row r="15" spans="1:38" x14ac:dyDescent="0.25">
      <c r="A15" s="2" t="s">
        <v>20</v>
      </c>
      <c r="B15" s="1">
        <v>0.625</v>
      </c>
      <c r="C15">
        <f>+B15</f>
        <v>0.625</v>
      </c>
      <c r="D15">
        <v>0.93700000000000006</v>
      </c>
      <c r="E15">
        <f>+C15</f>
        <v>0.625</v>
      </c>
      <c r="F15">
        <v>0.5</v>
      </c>
      <c r="G15">
        <v>0.307</v>
      </c>
      <c r="H15">
        <v>0.01</v>
      </c>
      <c r="J15">
        <v>0.56200000000000006</v>
      </c>
      <c r="K15">
        <v>11</v>
      </c>
      <c r="L15">
        <v>1.75</v>
      </c>
      <c r="M15">
        <v>18100</v>
      </c>
      <c r="W15" t="str">
        <f>("-")&amp;$A$15&amp;("-")&amp;W1</f>
        <v>-10-16</v>
      </c>
      <c r="X15" t="str">
        <f>("-")&amp;$A$15&amp;("-")&amp;X1</f>
        <v>-10-20</v>
      </c>
      <c r="Y15" t="str">
        <f>("-")&amp;$A$15&amp;("-")&amp;Y1</f>
        <v>-10-24</v>
      </c>
      <c r="Z15" t="str">
        <f>("-")&amp;$A$15&amp;("-")&amp;Z1</f>
        <v>-10-28</v>
      </c>
      <c r="AA15" t="str">
        <f>("-")&amp;$A$15&amp;("-")&amp;AA1</f>
        <v>-10-32</v>
      </c>
      <c r="AB15" t="str">
        <f>("-")&amp;$A$15&amp;("-")&amp;AB1</f>
        <v>-10-36</v>
      </c>
      <c r="AC15" t="str">
        <f>("-")&amp;$A$15&amp;("-")&amp;AC1</f>
        <v>-10-40</v>
      </c>
      <c r="AD15" t="str">
        <f>("-")&amp;$A$15&amp;("-")&amp;AD1</f>
        <v>-10-44</v>
      </c>
      <c r="AE15" t="str">
        <f>("-")&amp;$A$15&amp;("-")&amp;AE1</f>
        <v>-10-48</v>
      </c>
    </row>
    <row r="16" spans="1:38" x14ac:dyDescent="0.25">
      <c r="A16" s="2" t="s">
        <v>21</v>
      </c>
      <c r="B16" s="1">
        <v>0.75</v>
      </c>
      <c r="C16">
        <f>+B16</f>
        <v>0.75</v>
      </c>
      <c r="D16">
        <v>1.125</v>
      </c>
      <c r="E16">
        <f>+C16</f>
        <v>0.75</v>
      </c>
      <c r="F16">
        <v>0.625</v>
      </c>
      <c r="G16">
        <v>0.37</v>
      </c>
      <c r="H16">
        <v>0.01</v>
      </c>
      <c r="J16">
        <v>0.67500000000000004</v>
      </c>
      <c r="K16">
        <v>10</v>
      </c>
      <c r="L16">
        <v>2</v>
      </c>
      <c r="M16">
        <v>23400</v>
      </c>
      <c r="Y16" t="str">
        <f>("-")&amp;$A$16&amp;("-")&amp;Y1</f>
        <v>-12-24</v>
      </c>
      <c r="Z16" t="str">
        <f>("-")&amp;$A$16&amp;("-")&amp;Z1</f>
        <v>-12-28</v>
      </c>
      <c r="AA16" t="str">
        <f>("-")&amp;$A$16&amp;("-")&amp;AA1</f>
        <v>-12-32</v>
      </c>
      <c r="AB16" t="str">
        <f>("-")&amp;$A$16&amp;("-")&amp;AB1</f>
        <v>-12-36</v>
      </c>
      <c r="AC16" t="str">
        <f>("-")&amp;$A$16&amp;("-")&amp;AC1</f>
        <v>-12-40</v>
      </c>
      <c r="AD16" t="str">
        <f>("-")&amp;$A$16&amp;("-")&amp;AD1</f>
        <v>-12-44</v>
      </c>
      <c r="AE16" t="str">
        <f>("-")&amp;$A$16&amp;("-")&amp;AE1</f>
        <v>-12-48</v>
      </c>
      <c r="AF16" t="str">
        <f>("-")&amp;$A$16&amp;("-")&amp;AF1</f>
        <v>-12-52</v>
      </c>
      <c r="AG16" t="str">
        <f>("-")&amp;$A$16&amp;("-")&amp;AG1</f>
        <v>-12-56</v>
      </c>
    </row>
    <row r="17" spans="1:38" x14ac:dyDescent="0.25">
      <c r="A17" s="2" t="s">
        <v>22</v>
      </c>
      <c r="B17" s="1">
        <v>0.875</v>
      </c>
      <c r="C17">
        <f>+B17</f>
        <v>0.875</v>
      </c>
      <c r="D17">
        <v>1.3120000000000001</v>
      </c>
      <c r="E17">
        <f>+C17</f>
        <v>0.875</v>
      </c>
      <c r="F17">
        <v>0.75</v>
      </c>
      <c r="G17">
        <v>0.432</v>
      </c>
      <c r="H17">
        <v>1.4999999999999999E-2</v>
      </c>
      <c r="J17">
        <v>0.78700000000000003</v>
      </c>
      <c r="K17">
        <v>9</v>
      </c>
      <c r="L17">
        <v>2.25</v>
      </c>
      <c r="M17">
        <v>32300</v>
      </c>
      <c r="AA17" t="str">
        <f>("-")&amp;$A$17&amp;("-")&amp;AA1</f>
        <v>-14-32</v>
      </c>
      <c r="AB17" t="str">
        <f>("-")&amp;$A$17&amp;("-")&amp;AB1</f>
        <v>-14-36</v>
      </c>
      <c r="AC17" t="str">
        <f>("-")&amp;$A$17&amp;("-")&amp;AC1</f>
        <v>-14-40</v>
      </c>
      <c r="AD17" t="str">
        <f>("-")&amp;$A$17&amp;("-")&amp;AD1</f>
        <v>-14-44</v>
      </c>
      <c r="AE17" t="str">
        <f>("-")&amp;$A$17&amp;("-")&amp;AE1</f>
        <v>-14-48</v>
      </c>
      <c r="AF17" t="str">
        <f>("-")&amp;$A$17&amp;("-")&amp;AF1</f>
        <v>-14-52</v>
      </c>
      <c r="AG17" t="str">
        <f>("-")&amp;$A$17&amp;("-")&amp;AG1</f>
        <v>-14-56</v>
      </c>
      <c r="AH17" t="str">
        <f>("-")&amp;$A$17&amp;("-")&amp;AH1</f>
        <v>-14-64</v>
      </c>
      <c r="AI17" t="str">
        <f>("-")&amp;$A$17&amp;("-")&amp;AI1</f>
        <v>-14-72</v>
      </c>
    </row>
    <row r="18" spans="1:38" x14ac:dyDescent="0.25">
      <c r="A18" s="2" t="s">
        <v>23</v>
      </c>
      <c r="B18" s="1">
        <v>1</v>
      </c>
      <c r="C18">
        <f>+B18</f>
        <v>1</v>
      </c>
      <c r="D18">
        <v>1.5</v>
      </c>
      <c r="E18">
        <f>+C18</f>
        <v>1</v>
      </c>
      <c r="F18">
        <v>0.75</v>
      </c>
      <c r="G18">
        <v>0.495</v>
      </c>
      <c r="H18">
        <v>1.4999999999999999E-2</v>
      </c>
      <c r="J18">
        <v>0.9</v>
      </c>
      <c r="K18">
        <v>8</v>
      </c>
      <c r="L18">
        <v>2.5</v>
      </c>
      <c r="M18">
        <v>42400</v>
      </c>
      <c r="AC18" t="str">
        <f>("-")&amp;$A$18&amp;("-")&amp;AC1</f>
        <v>-16-40</v>
      </c>
      <c r="AD18" t="str">
        <f>("-")&amp;$A$18&amp;("-")&amp;AD1</f>
        <v>-16-44</v>
      </c>
      <c r="AE18" t="str">
        <f>("-")&amp;$A$18&amp;("-")&amp;AE1</f>
        <v>-16-48</v>
      </c>
      <c r="AF18" t="str">
        <f>("-")&amp;$A$18&amp;("-")&amp;AF1</f>
        <v>-16-52</v>
      </c>
      <c r="AG18" t="str">
        <f>("-")&amp;$A$18&amp;("-")&amp;AG1</f>
        <v>-16-56</v>
      </c>
      <c r="AH18" t="str">
        <f>("-")&amp;$A$18&amp;("-")&amp;AH1</f>
        <v>-16-64</v>
      </c>
      <c r="AI18" t="str">
        <f>("-")&amp;$A$18&amp;("-")&amp;AI1</f>
        <v>-16-72</v>
      </c>
      <c r="AJ18" t="str">
        <f>("-")&amp;$A$18&amp;("-")&amp;AJ1</f>
        <v>-16-80</v>
      </c>
    </row>
    <row r="19" spans="1:38" x14ac:dyDescent="0.25">
      <c r="A19" s="2" t="s">
        <v>24</v>
      </c>
      <c r="B19" s="1">
        <v>1.25</v>
      </c>
      <c r="C19">
        <f>+B19</f>
        <v>1.25</v>
      </c>
      <c r="D19">
        <v>1.875</v>
      </c>
      <c r="E19">
        <f>+C19</f>
        <v>1.25</v>
      </c>
      <c r="F19">
        <v>0.875</v>
      </c>
      <c r="G19">
        <v>0.62</v>
      </c>
      <c r="H19">
        <v>1.4999999999999999E-2</v>
      </c>
      <c r="J19">
        <v>1.125</v>
      </c>
      <c r="K19">
        <v>7</v>
      </c>
      <c r="L19">
        <v>3.125</v>
      </c>
      <c r="M19">
        <v>67800</v>
      </c>
      <c r="AE19" t="str">
        <f>("-")&amp;$A$19&amp;("-")&amp;AE1</f>
        <v>-20-48</v>
      </c>
      <c r="AF19" t="str">
        <f>("-")&amp;$A$19&amp;("-")&amp;AF1</f>
        <v>-20-52</v>
      </c>
      <c r="AG19" t="str">
        <f>("-")&amp;$A$19&amp;("-")&amp;AG1</f>
        <v>-20-56</v>
      </c>
      <c r="AH19" t="str">
        <f>("-")&amp;$A$19&amp;("-")&amp;AH1</f>
        <v>-20-64</v>
      </c>
      <c r="AI19" t="str">
        <f>("-")&amp;$A$19&amp;("-")&amp;AI1</f>
        <v>-20-72</v>
      </c>
      <c r="AJ19" t="str">
        <f>("-")&amp;$A$19&amp;("-")&amp;AJ1</f>
        <v>-20-80</v>
      </c>
      <c r="AK19" t="str">
        <f>("-")&amp;$A$19&amp;("-")&amp;AK1</f>
        <v>-20-88</v>
      </c>
      <c r="AL19" t="str">
        <f>("-")&amp;$A$19&amp;("-")&amp;AL1</f>
        <v>-20-96</v>
      </c>
    </row>
    <row r="20" spans="1:38" x14ac:dyDescent="0.25">
      <c r="A20" s="2" t="s">
        <v>25</v>
      </c>
      <c r="B20" s="1">
        <v>1.5</v>
      </c>
      <c r="C20">
        <f>+B20</f>
        <v>1.5</v>
      </c>
      <c r="D20">
        <v>2.25</v>
      </c>
      <c r="E20">
        <f>+C20</f>
        <v>1.5</v>
      </c>
      <c r="F20">
        <v>1</v>
      </c>
      <c r="G20">
        <v>0.745</v>
      </c>
      <c r="H20">
        <v>1.4999999999999999E-2</v>
      </c>
      <c r="J20">
        <v>1.35</v>
      </c>
      <c r="K20">
        <v>6</v>
      </c>
      <c r="L20">
        <v>3.75</v>
      </c>
      <c r="M20">
        <v>98300</v>
      </c>
      <c r="AG20" t="str">
        <f>("-")&amp;$A$20&amp;("-")&amp;AG1</f>
        <v>-24-56</v>
      </c>
      <c r="AH20" t="str">
        <f>("-")&amp;$A$20&amp;("-")&amp;AH1</f>
        <v>-24-64</v>
      </c>
      <c r="AI20" t="str">
        <f>("-")&amp;$A$20&amp;("-")&amp;AI1</f>
        <v>-24-72</v>
      </c>
      <c r="AJ20" t="str">
        <f>("-")&amp;$A$20&amp;("-")&amp;AJ1</f>
        <v>-24-80</v>
      </c>
      <c r="AK20" t="str">
        <f>("-")&amp;$A$20&amp;("-")&amp;AK1</f>
        <v>-24-88</v>
      </c>
      <c r="AL20" t="str">
        <f>("-")&amp;$A$20&amp;("-")&amp;AL1</f>
        <v>-24-96</v>
      </c>
    </row>
    <row r="21" spans="1:38" x14ac:dyDescent="0.25">
      <c r="A21" t="s">
        <v>33</v>
      </c>
      <c r="B21" s="1" t="s">
        <v>34</v>
      </c>
    </row>
    <row r="42" spans="1:1" x14ac:dyDescent="0.25">
      <c r="A42" t="s">
        <v>6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0"/>
  <sheetViews>
    <sheetView tabSelected="1" topLeftCell="C1" workbookViewId="0">
      <selection activeCell="J150" sqref="J1:K150"/>
    </sheetView>
  </sheetViews>
  <sheetFormatPr defaultRowHeight="15" x14ac:dyDescent="0.25"/>
  <sheetData>
    <row r="1" spans="1:11" x14ac:dyDescent="0.25">
      <c r="A1" t="s">
        <v>35</v>
      </c>
      <c r="B1">
        <v>7.2999999999999995E-2</v>
      </c>
      <c r="C1">
        <v>0.11799999999999999</v>
      </c>
      <c r="D1">
        <v>7.2999999999999995E-2</v>
      </c>
      <c r="E1">
        <v>6.2E-2</v>
      </c>
      <c r="F1">
        <v>3.1E-2</v>
      </c>
      <c r="G1">
        <v>3.0000000000000001E-3</v>
      </c>
      <c r="H1">
        <v>0.125</v>
      </c>
      <c r="J1">
        <v>6.6000000000000003E-2</v>
      </c>
      <c r="K1">
        <v>64</v>
      </c>
    </row>
    <row r="2" spans="1:11" x14ac:dyDescent="0.25">
      <c r="A2" t="s">
        <v>36</v>
      </c>
      <c r="B2">
        <v>7.2999999999999995E-2</v>
      </c>
      <c r="C2">
        <v>0.11799999999999999</v>
      </c>
      <c r="D2">
        <v>7.2999999999999995E-2</v>
      </c>
      <c r="E2">
        <v>6.2E-2</v>
      </c>
      <c r="F2">
        <v>3.1E-2</v>
      </c>
      <c r="G2">
        <v>3.0000000000000001E-3</v>
      </c>
      <c r="H2">
        <v>0.188</v>
      </c>
      <c r="J2">
        <v>6.6000000000000003E-2</v>
      </c>
      <c r="K2">
        <v>64</v>
      </c>
    </row>
    <row r="3" spans="1:11" x14ac:dyDescent="0.25">
      <c r="A3" t="s">
        <v>37</v>
      </c>
      <c r="B3">
        <v>7.2999999999999995E-2</v>
      </c>
      <c r="C3">
        <v>0.11799999999999999</v>
      </c>
      <c r="D3">
        <v>7.2999999999999995E-2</v>
      </c>
      <c r="E3">
        <v>6.2E-2</v>
      </c>
      <c r="F3">
        <v>3.1E-2</v>
      </c>
      <c r="G3">
        <v>3.0000000000000001E-3</v>
      </c>
      <c r="H3">
        <v>0.25</v>
      </c>
      <c r="J3">
        <v>6.6000000000000003E-2</v>
      </c>
      <c r="K3">
        <v>64</v>
      </c>
    </row>
    <row r="4" spans="1:11" x14ac:dyDescent="0.25">
      <c r="A4" t="s">
        <v>38</v>
      </c>
      <c r="B4">
        <v>7.2999999999999995E-2</v>
      </c>
      <c r="C4">
        <v>0.11799999999999999</v>
      </c>
      <c r="D4">
        <v>7.2999999999999995E-2</v>
      </c>
      <c r="E4">
        <v>6.2E-2</v>
      </c>
      <c r="F4">
        <v>3.1E-2</v>
      </c>
      <c r="G4">
        <v>3.0000000000000001E-3</v>
      </c>
      <c r="H4">
        <v>0.375</v>
      </c>
      <c r="J4">
        <v>6.6000000000000003E-2</v>
      </c>
      <c r="K4">
        <v>64</v>
      </c>
    </row>
    <row r="5" spans="1:11" x14ac:dyDescent="0.25">
      <c r="A5" t="s">
        <v>39</v>
      </c>
      <c r="B5">
        <v>8.5999999999999993E-2</v>
      </c>
      <c r="C5">
        <v>0.14000000000000001</v>
      </c>
      <c r="D5">
        <v>8.5999999999999993E-2</v>
      </c>
      <c r="E5">
        <v>7.8E-2</v>
      </c>
      <c r="F5">
        <v>3.7999999999999999E-2</v>
      </c>
      <c r="G5">
        <v>3.0000000000000001E-3</v>
      </c>
      <c r="H5">
        <v>0.188</v>
      </c>
      <c r="J5">
        <v>7.6999999999999999E-2</v>
      </c>
      <c r="K5">
        <v>56</v>
      </c>
    </row>
    <row r="6" spans="1:11" x14ac:dyDescent="0.25">
      <c r="A6" t="s">
        <v>40</v>
      </c>
      <c r="B6">
        <v>8.5999999999999993E-2</v>
      </c>
      <c r="C6">
        <v>0.14000000000000001</v>
      </c>
      <c r="D6">
        <v>8.5999999999999993E-2</v>
      </c>
      <c r="E6">
        <v>7.8E-2</v>
      </c>
      <c r="F6">
        <v>3.7999999999999999E-2</v>
      </c>
      <c r="G6">
        <v>3.0000000000000001E-3</v>
      </c>
      <c r="H6">
        <v>0.25</v>
      </c>
      <c r="J6">
        <v>7.6999999999999999E-2</v>
      </c>
      <c r="K6">
        <v>56</v>
      </c>
    </row>
    <row r="7" spans="1:11" x14ac:dyDescent="0.25">
      <c r="A7" t="s">
        <v>41</v>
      </c>
      <c r="B7">
        <v>8.5999999999999993E-2</v>
      </c>
      <c r="C7">
        <v>0.14000000000000001</v>
      </c>
      <c r="D7">
        <v>8.5999999999999993E-2</v>
      </c>
      <c r="E7">
        <v>7.8E-2</v>
      </c>
      <c r="F7">
        <v>3.7999999999999999E-2</v>
      </c>
      <c r="G7">
        <v>3.0000000000000001E-3</v>
      </c>
      <c r="H7">
        <v>0.375</v>
      </c>
      <c r="J7">
        <v>7.6999999999999999E-2</v>
      </c>
      <c r="K7">
        <v>56</v>
      </c>
    </row>
    <row r="8" spans="1:11" x14ac:dyDescent="0.25">
      <c r="A8" t="s">
        <v>42</v>
      </c>
      <c r="B8">
        <v>8.5999999999999993E-2</v>
      </c>
      <c r="C8">
        <v>0.14000000000000001</v>
      </c>
      <c r="D8">
        <v>8.5999999999999993E-2</v>
      </c>
      <c r="E8">
        <v>7.8E-2</v>
      </c>
      <c r="F8">
        <v>3.7999999999999999E-2</v>
      </c>
      <c r="G8">
        <v>3.0000000000000001E-3</v>
      </c>
      <c r="H8">
        <v>0.5</v>
      </c>
      <c r="J8">
        <v>7.6999999999999999E-2</v>
      </c>
      <c r="K8">
        <v>56</v>
      </c>
    </row>
    <row r="9" spans="1:11" x14ac:dyDescent="0.25">
      <c r="A9" t="s">
        <v>43</v>
      </c>
      <c r="B9">
        <v>9.9000000000000005E-2</v>
      </c>
      <c r="C9">
        <v>0.161</v>
      </c>
      <c r="D9">
        <v>9.9000000000000005E-2</v>
      </c>
      <c r="E9">
        <v>7.8E-2</v>
      </c>
      <c r="F9">
        <v>4.3999999999999997E-2</v>
      </c>
      <c r="G9">
        <v>3.0000000000000001E-3</v>
      </c>
      <c r="H9">
        <v>0.25</v>
      </c>
      <c r="J9">
        <v>8.8999999999999996E-2</v>
      </c>
      <c r="K9">
        <v>48</v>
      </c>
    </row>
    <row r="10" spans="1:11" x14ac:dyDescent="0.25">
      <c r="A10" t="s">
        <v>44</v>
      </c>
      <c r="B10">
        <v>9.9000000000000005E-2</v>
      </c>
      <c r="C10">
        <v>0.161</v>
      </c>
      <c r="D10">
        <v>9.9000000000000005E-2</v>
      </c>
      <c r="E10">
        <v>7.8E-2</v>
      </c>
      <c r="F10">
        <v>4.3999999999999997E-2</v>
      </c>
      <c r="G10">
        <v>3.0000000000000001E-3</v>
      </c>
      <c r="H10">
        <v>0.375</v>
      </c>
      <c r="J10">
        <v>8.8999999999999996E-2</v>
      </c>
      <c r="K10">
        <v>48</v>
      </c>
    </row>
    <row r="11" spans="1:11" x14ac:dyDescent="0.25">
      <c r="A11" t="s">
        <v>45</v>
      </c>
      <c r="B11">
        <v>9.9000000000000005E-2</v>
      </c>
      <c r="C11">
        <v>0.161</v>
      </c>
      <c r="D11">
        <v>9.9000000000000005E-2</v>
      </c>
      <c r="E11">
        <v>7.8E-2</v>
      </c>
      <c r="F11">
        <v>4.3999999999999997E-2</v>
      </c>
      <c r="G11">
        <v>3.0000000000000001E-3</v>
      </c>
      <c r="H11">
        <v>0.5</v>
      </c>
      <c r="J11">
        <v>8.8999999999999996E-2</v>
      </c>
      <c r="K11">
        <v>48</v>
      </c>
    </row>
    <row r="12" spans="1:11" x14ac:dyDescent="0.25">
      <c r="A12" t="s">
        <v>46</v>
      </c>
      <c r="B12">
        <v>9.9000000000000005E-2</v>
      </c>
      <c r="C12">
        <v>0.161</v>
      </c>
      <c r="D12">
        <v>9.9000000000000005E-2</v>
      </c>
      <c r="E12">
        <v>7.8E-2</v>
      </c>
      <c r="F12">
        <v>4.3999999999999997E-2</v>
      </c>
      <c r="G12">
        <v>3.0000000000000001E-3</v>
      </c>
      <c r="H12">
        <v>0.625</v>
      </c>
      <c r="J12">
        <v>8.8999999999999996E-2</v>
      </c>
      <c r="K12">
        <v>48</v>
      </c>
    </row>
    <row r="13" spans="1:11" x14ac:dyDescent="0.25">
      <c r="A13" t="s">
        <v>47</v>
      </c>
      <c r="B13">
        <v>0.112</v>
      </c>
      <c r="C13">
        <v>0.183</v>
      </c>
      <c r="D13">
        <v>0.112</v>
      </c>
      <c r="E13">
        <v>9.4E-2</v>
      </c>
      <c r="F13">
        <v>5.0999999999999997E-2</v>
      </c>
      <c r="G13">
        <v>5.0000000000000001E-3</v>
      </c>
      <c r="H13">
        <v>0.25</v>
      </c>
      <c r="J13">
        <v>0.10100000000000001</v>
      </c>
      <c r="K13">
        <v>40</v>
      </c>
    </row>
    <row r="14" spans="1:11" x14ac:dyDescent="0.25">
      <c r="A14" t="s">
        <v>48</v>
      </c>
      <c r="B14">
        <v>0.112</v>
      </c>
      <c r="C14">
        <v>0.183</v>
      </c>
      <c r="D14">
        <v>0.112</v>
      </c>
      <c r="E14">
        <v>9.4E-2</v>
      </c>
      <c r="F14">
        <v>5.0999999999999997E-2</v>
      </c>
      <c r="G14">
        <v>5.0000000000000001E-3</v>
      </c>
      <c r="H14">
        <v>0.375</v>
      </c>
      <c r="J14">
        <v>0.10100000000000001</v>
      </c>
      <c r="K14">
        <v>40</v>
      </c>
    </row>
    <row r="15" spans="1:11" x14ac:dyDescent="0.25">
      <c r="A15" t="s">
        <v>49</v>
      </c>
      <c r="B15">
        <v>0.112</v>
      </c>
      <c r="C15">
        <v>0.183</v>
      </c>
      <c r="D15">
        <v>0.112</v>
      </c>
      <c r="E15">
        <v>9.4E-2</v>
      </c>
      <c r="F15">
        <v>5.0999999999999997E-2</v>
      </c>
      <c r="G15">
        <v>5.0000000000000001E-3</v>
      </c>
      <c r="H15">
        <v>0.5</v>
      </c>
      <c r="J15">
        <v>0.10100000000000001</v>
      </c>
      <c r="K15">
        <v>40</v>
      </c>
    </row>
    <row r="16" spans="1:11" x14ac:dyDescent="0.25">
      <c r="A16" t="s">
        <v>50</v>
      </c>
      <c r="B16">
        <v>0.112</v>
      </c>
      <c r="C16">
        <v>0.183</v>
      </c>
      <c r="D16">
        <v>0.112</v>
      </c>
      <c r="E16">
        <v>9.4E-2</v>
      </c>
      <c r="F16">
        <v>5.0999999999999997E-2</v>
      </c>
      <c r="G16">
        <v>5.0000000000000001E-3</v>
      </c>
      <c r="H16">
        <v>0.625</v>
      </c>
      <c r="J16">
        <v>0.10100000000000001</v>
      </c>
      <c r="K16">
        <v>40</v>
      </c>
    </row>
    <row r="17" spans="1:11" x14ac:dyDescent="0.25">
      <c r="A17" t="s">
        <v>51</v>
      </c>
      <c r="B17">
        <v>0.112</v>
      </c>
      <c r="C17">
        <v>0.183</v>
      </c>
      <c r="D17">
        <v>0.112</v>
      </c>
      <c r="E17">
        <v>9.4E-2</v>
      </c>
      <c r="F17">
        <v>5.0999999999999997E-2</v>
      </c>
      <c r="G17">
        <v>5.0000000000000001E-3</v>
      </c>
      <c r="H17">
        <v>0.75</v>
      </c>
      <c r="J17">
        <v>0.10100000000000001</v>
      </c>
      <c r="K17">
        <v>40</v>
      </c>
    </row>
    <row r="18" spans="1:11" x14ac:dyDescent="0.25">
      <c r="A18" t="s">
        <v>52</v>
      </c>
      <c r="B18">
        <v>0.13800000000000001</v>
      </c>
      <c r="C18">
        <v>0.22600000000000001</v>
      </c>
      <c r="D18">
        <v>0.13800000000000001</v>
      </c>
      <c r="E18">
        <v>0.109</v>
      </c>
      <c r="F18">
        <v>6.4000000000000001E-2</v>
      </c>
      <c r="G18">
        <v>5.0000000000000001E-3</v>
      </c>
      <c r="H18">
        <v>0.25</v>
      </c>
      <c r="J18">
        <v>0.124</v>
      </c>
      <c r="K18">
        <v>32</v>
      </c>
    </row>
    <row r="19" spans="1:11" x14ac:dyDescent="0.25">
      <c r="A19" t="s">
        <v>53</v>
      </c>
      <c r="B19">
        <v>0.13800000000000001</v>
      </c>
      <c r="C19">
        <v>0.22600000000000001</v>
      </c>
      <c r="D19">
        <v>0.13800000000000001</v>
      </c>
      <c r="E19">
        <v>0.109</v>
      </c>
      <c r="F19">
        <v>6.4000000000000001E-2</v>
      </c>
      <c r="G19">
        <v>5.0000000000000001E-3</v>
      </c>
      <c r="H19">
        <v>0.375</v>
      </c>
      <c r="J19">
        <v>0.124</v>
      </c>
      <c r="K19">
        <v>32</v>
      </c>
    </row>
    <row r="20" spans="1:11" x14ac:dyDescent="0.25">
      <c r="A20" t="s">
        <v>54</v>
      </c>
      <c r="B20">
        <v>0.13800000000000001</v>
      </c>
      <c r="C20">
        <v>0.22600000000000001</v>
      </c>
      <c r="D20">
        <v>0.13800000000000001</v>
      </c>
      <c r="E20">
        <v>0.109</v>
      </c>
      <c r="F20">
        <v>6.4000000000000001E-2</v>
      </c>
      <c r="G20">
        <v>5.0000000000000001E-3</v>
      </c>
      <c r="H20">
        <v>0.5</v>
      </c>
      <c r="J20">
        <v>0.124</v>
      </c>
      <c r="K20">
        <v>32</v>
      </c>
    </row>
    <row r="21" spans="1:11" x14ac:dyDescent="0.25">
      <c r="A21" t="s">
        <v>55</v>
      </c>
      <c r="B21">
        <v>0.13800000000000001</v>
      </c>
      <c r="C21">
        <v>0.22600000000000001</v>
      </c>
      <c r="D21">
        <v>0.13800000000000001</v>
      </c>
      <c r="E21">
        <v>0.109</v>
      </c>
      <c r="F21">
        <v>6.4000000000000001E-2</v>
      </c>
      <c r="G21">
        <v>5.0000000000000001E-3</v>
      </c>
      <c r="H21">
        <v>0.625</v>
      </c>
      <c r="J21">
        <v>0.124</v>
      </c>
      <c r="K21">
        <v>32</v>
      </c>
    </row>
    <row r="22" spans="1:11" x14ac:dyDescent="0.25">
      <c r="A22" t="s">
        <v>56</v>
      </c>
      <c r="B22">
        <v>0.13800000000000001</v>
      </c>
      <c r="C22">
        <v>0.22600000000000001</v>
      </c>
      <c r="D22">
        <v>0.13800000000000001</v>
      </c>
      <c r="E22">
        <v>0.109</v>
      </c>
      <c r="F22">
        <v>6.4000000000000001E-2</v>
      </c>
      <c r="G22">
        <v>5.0000000000000001E-3</v>
      </c>
      <c r="H22">
        <v>0.75</v>
      </c>
      <c r="J22">
        <v>0.124</v>
      </c>
      <c r="K22">
        <v>32</v>
      </c>
    </row>
    <row r="23" spans="1:11" x14ac:dyDescent="0.25">
      <c r="A23" t="s">
        <v>57</v>
      </c>
      <c r="B23">
        <v>0.13800000000000001</v>
      </c>
      <c r="C23">
        <v>0.22600000000000001</v>
      </c>
      <c r="D23">
        <v>0.13800000000000001</v>
      </c>
      <c r="E23">
        <v>0.109</v>
      </c>
      <c r="F23">
        <v>6.4000000000000001E-2</v>
      </c>
      <c r="G23">
        <v>5.0000000000000001E-3</v>
      </c>
      <c r="H23">
        <v>0.875</v>
      </c>
      <c r="J23">
        <v>0.124</v>
      </c>
      <c r="K23">
        <v>32</v>
      </c>
    </row>
    <row r="24" spans="1:11" x14ac:dyDescent="0.25">
      <c r="A24" t="s">
        <v>58</v>
      </c>
      <c r="B24">
        <v>0.13800000000000001</v>
      </c>
      <c r="C24">
        <v>0.22600000000000001</v>
      </c>
      <c r="D24">
        <v>0.13800000000000001</v>
      </c>
      <c r="E24">
        <v>0.109</v>
      </c>
      <c r="F24">
        <v>6.4000000000000001E-2</v>
      </c>
      <c r="G24">
        <v>5.0000000000000001E-3</v>
      </c>
      <c r="H24">
        <v>1</v>
      </c>
      <c r="J24">
        <v>0.124</v>
      </c>
      <c r="K24">
        <v>32</v>
      </c>
    </row>
    <row r="25" spans="1:11" x14ac:dyDescent="0.25">
      <c r="A25" t="s">
        <v>59</v>
      </c>
      <c r="B25">
        <v>0.16400000000000001</v>
      </c>
      <c r="C25">
        <v>0.27</v>
      </c>
      <c r="D25">
        <v>0.16400000000000001</v>
      </c>
      <c r="E25">
        <v>0.14099999999999999</v>
      </c>
      <c r="F25">
        <v>7.6999999999999999E-2</v>
      </c>
      <c r="G25">
        <v>5.0000000000000001E-3</v>
      </c>
      <c r="H25">
        <v>0.25</v>
      </c>
      <c r="J25">
        <v>0.14799999999999999</v>
      </c>
      <c r="K25">
        <v>32</v>
      </c>
    </row>
    <row r="26" spans="1:11" x14ac:dyDescent="0.25">
      <c r="A26" t="s">
        <v>60</v>
      </c>
      <c r="B26">
        <v>0.16400000000000001</v>
      </c>
      <c r="C26">
        <v>0.27</v>
      </c>
      <c r="D26">
        <v>0.16400000000000001</v>
      </c>
      <c r="E26">
        <v>0.14099999999999999</v>
      </c>
      <c r="F26">
        <v>7.6999999999999999E-2</v>
      </c>
      <c r="G26">
        <v>5.0000000000000001E-3</v>
      </c>
      <c r="H26">
        <v>0.375</v>
      </c>
      <c r="J26">
        <v>0.14799999999999999</v>
      </c>
      <c r="K26">
        <v>32</v>
      </c>
    </row>
    <row r="27" spans="1:11" x14ac:dyDescent="0.25">
      <c r="A27" t="s">
        <v>61</v>
      </c>
      <c r="B27">
        <v>0.16400000000000001</v>
      </c>
      <c r="C27">
        <v>0.27</v>
      </c>
      <c r="D27">
        <v>0.16400000000000001</v>
      </c>
      <c r="E27">
        <v>0.14099999999999999</v>
      </c>
      <c r="F27">
        <v>7.6999999999999999E-2</v>
      </c>
      <c r="G27">
        <v>5.0000000000000001E-3</v>
      </c>
      <c r="H27">
        <v>0.5</v>
      </c>
      <c r="J27">
        <v>0.14799999999999999</v>
      </c>
      <c r="K27">
        <v>32</v>
      </c>
    </row>
    <row r="28" spans="1:11" x14ac:dyDescent="0.25">
      <c r="A28" t="s">
        <v>62</v>
      </c>
      <c r="B28">
        <v>0.16400000000000001</v>
      </c>
      <c r="C28">
        <v>0.27</v>
      </c>
      <c r="D28">
        <v>0.16400000000000001</v>
      </c>
      <c r="E28">
        <v>0.14099999999999999</v>
      </c>
      <c r="F28">
        <v>7.6999999999999999E-2</v>
      </c>
      <c r="G28">
        <v>5.0000000000000001E-3</v>
      </c>
      <c r="H28">
        <v>0.625</v>
      </c>
      <c r="J28">
        <v>0.14799999999999999</v>
      </c>
      <c r="K28">
        <v>32</v>
      </c>
    </row>
    <row r="29" spans="1:11" x14ac:dyDescent="0.25">
      <c r="A29" t="s">
        <v>63</v>
      </c>
      <c r="B29">
        <v>0.16400000000000001</v>
      </c>
      <c r="C29">
        <v>0.27</v>
      </c>
      <c r="D29">
        <v>0.16400000000000001</v>
      </c>
      <c r="E29">
        <v>0.14099999999999999</v>
      </c>
      <c r="F29">
        <v>7.6999999999999999E-2</v>
      </c>
      <c r="G29">
        <v>5.0000000000000001E-3</v>
      </c>
      <c r="H29">
        <v>0.75</v>
      </c>
      <c r="J29">
        <v>0.14799999999999999</v>
      </c>
      <c r="K29">
        <v>32</v>
      </c>
    </row>
    <row r="30" spans="1:11" x14ac:dyDescent="0.25">
      <c r="A30" t="s">
        <v>64</v>
      </c>
      <c r="B30">
        <v>0.16400000000000001</v>
      </c>
      <c r="C30">
        <v>0.27</v>
      </c>
      <c r="D30">
        <v>0.16400000000000001</v>
      </c>
      <c r="E30">
        <v>0.14099999999999999</v>
      </c>
      <c r="F30">
        <v>7.6999999999999999E-2</v>
      </c>
      <c r="G30">
        <v>5.0000000000000001E-3</v>
      </c>
      <c r="H30">
        <v>0.875</v>
      </c>
      <c r="J30">
        <v>0.14799999999999999</v>
      </c>
      <c r="K30">
        <v>32</v>
      </c>
    </row>
    <row r="31" spans="1:11" x14ac:dyDescent="0.25">
      <c r="A31" t="s">
        <v>65</v>
      </c>
      <c r="B31">
        <v>0.16400000000000001</v>
      </c>
      <c r="C31">
        <v>0.27</v>
      </c>
      <c r="D31">
        <v>0.16400000000000001</v>
      </c>
      <c r="E31">
        <v>0.14099999999999999</v>
      </c>
      <c r="F31">
        <v>7.6999999999999999E-2</v>
      </c>
      <c r="G31">
        <v>5.0000000000000001E-3</v>
      </c>
      <c r="H31">
        <v>1</v>
      </c>
      <c r="J31">
        <v>0.14799999999999999</v>
      </c>
      <c r="K31">
        <v>32</v>
      </c>
    </row>
    <row r="32" spans="1:11" x14ac:dyDescent="0.25">
      <c r="A32" t="s">
        <v>66</v>
      </c>
      <c r="B32">
        <v>0.16400000000000001</v>
      </c>
      <c r="C32">
        <v>0.27</v>
      </c>
      <c r="D32">
        <v>0.16400000000000001</v>
      </c>
      <c r="E32">
        <v>0.14099999999999999</v>
      </c>
      <c r="F32">
        <v>7.6999999999999999E-2</v>
      </c>
      <c r="G32">
        <v>5.0000000000000001E-3</v>
      </c>
      <c r="H32">
        <v>1.25</v>
      </c>
      <c r="J32">
        <v>0.14799999999999999</v>
      </c>
      <c r="K32">
        <v>32</v>
      </c>
    </row>
    <row r="33" spans="1:11" x14ac:dyDescent="0.25">
      <c r="A33" t="s">
        <v>67</v>
      </c>
      <c r="B33">
        <v>0.16400000000000001</v>
      </c>
      <c r="C33">
        <v>0.27</v>
      </c>
      <c r="D33">
        <v>0.16400000000000001</v>
      </c>
      <c r="E33">
        <v>0.14099999999999999</v>
      </c>
      <c r="F33">
        <v>7.6999999999999999E-2</v>
      </c>
      <c r="G33">
        <v>5.0000000000000001E-3</v>
      </c>
      <c r="H33">
        <v>1.5</v>
      </c>
      <c r="J33">
        <v>0.14799999999999999</v>
      </c>
      <c r="K33">
        <v>32</v>
      </c>
    </row>
    <row r="34" spans="1:11" x14ac:dyDescent="0.25">
      <c r="A34" t="s">
        <v>68</v>
      </c>
      <c r="B34">
        <v>0.19</v>
      </c>
      <c r="C34">
        <v>0.312</v>
      </c>
      <c r="D34">
        <v>0.19</v>
      </c>
      <c r="E34">
        <v>0.156</v>
      </c>
      <c r="F34">
        <v>0.09</v>
      </c>
      <c r="G34">
        <v>5.0000000000000001E-3</v>
      </c>
      <c r="H34">
        <v>0.375</v>
      </c>
      <c r="J34">
        <v>0.17100000000000001</v>
      </c>
      <c r="K34">
        <v>24</v>
      </c>
    </row>
    <row r="35" spans="1:11" x14ac:dyDescent="0.25">
      <c r="A35" t="s">
        <v>69</v>
      </c>
      <c r="B35">
        <v>0.19</v>
      </c>
      <c r="C35">
        <v>0.312</v>
      </c>
      <c r="D35">
        <v>0.19</v>
      </c>
      <c r="E35">
        <v>0.156</v>
      </c>
      <c r="F35">
        <v>0.09</v>
      </c>
      <c r="G35">
        <v>5.0000000000000001E-3</v>
      </c>
      <c r="H35">
        <v>0.5</v>
      </c>
      <c r="J35">
        <v>0.17100000000000001</v>
      </c>
      <c r="K35">
        <v>24</v>
      </c>
    </row>
    <row r="36" spans="1:11" x14ac:dyDescent="0.25">
      <c r="A36" t="s">
        <v>70</v>
      </c>
      <c r="B36">
        <v>0.19</v>
      </c>
      <c r="C36">
        <v>0.312</v>
      </c>
      <c r="D36">
        <v>0.19</v>
      </c>
      <c r="E36">
        <v>0.156</v>
      </c>
      <c r="F36">
        <v>0.09</v>
      </c>
      <c r="G36">
        <v>5.0000000000000001E-3</v>
      </c>
      <c r="H36">
        <v>0.625</v>
      </c>
      <c r="J36">
        <v>0.17100000000000001</v>
      </c>
      <c r="K36">
        <v>24</v>
      </c>
    </row>
    <row r="37" spans="1:11" x14ac:dyDescent="0.25">
      <c r="A37" t="s">
        <v>71</v>
      </c>
      <c r="B37">
        <v>0.19</v>
      </c>
      <c r="C37">
        <v>0.312</v>
      </c>
      <c r="D37">
        <v>0.19</v>
      </c>
      <c r="E37">
        <v>0.156</v>
      </c>
      <c r="F37">
        <v>0.09</v>
      </c>
      <c r="G37">
        <v>5.0000000000000001E-3</v>
      </c>
      <c r="H37">
        <v>0.75</v>
      </c>
      <c r="J37">
        <v>0.17100000000000001</v>
      </c>
      <c r="K37">
        <v>24</v>
      </c>
    </row>
    <row r="38" spans="1:11" x14ac:dyDescent="0.25">
      <c r="A38" t="s">
        <v>72</v>
      </c>
      <c r="B38">
        <v>0.19</v>
      </c>
      <c r="C38">
        <v>0.312</v>
      </c>
      <c r="D38">
        <v>0.19</v>
      </c>
      <c r="E38">
        <v>0.156</v>
      </c>
      <c r="F38">
        <v>0.09</v>
      </c>
      <c r="G38">
        <v>5.0000000000000001E-3</v>
      </c>
      <c r="H38">
        <v>0.875</v>
      </c>
      <c r="J38">
        <v>0.17100000000000001</v>
      </c>
      <c r="K38">
        <v>24</v>
      </c>
    </row>
    <row r="39" spans="1:11" x14ac:dyDescent="0.25">
      <c r="A39" t="s">
        <v>73</v>
      </c>
      <c r="B39">
        <v>0.19</v>
      </c>
      <c r="C39">
        <v>0.312</v>
      </c>
      <c r="D39">
        <v>0.19</v>
      </c>
      <c r="E39">
        <v>0.156</v>
      </c>
      <c r="F39">
        <v>0.09</v>
      </c>
      <c r="G39">
        <v>5.0000000000000001E-3</v>
      </c>
      <c r="H39">
        <v>1</v>
      </c>
      <c r="J39">
        <v>0.17100000000000001</v>
      </c>
      <c r="K39">
        <v>24</v>
      </c>
    </row>
    <row r="40" spans="1:11" x14ac:dyDescent="0.25">
      <c r="A40" t="s">
        <v>74</v>
      </c>
      <c r="B40">
        <v>0.19</v>
      </c>
      <c r="C40">
        <v>0.312</v>
      </c>
      <c r="D40">
        <v>0.19</v>
      </c>
      <c r="E40">
        <v>0.156</v>
      </c>
      <c r="F40">
        <v>0.09</v>
      </c>
      <c r="G40">
        <v>5.0000000000000001E-3</v>
      </c>
      <c r="H40">
        <v>1.25</v>
      </c>
      <c r="J40">
        <v>0.17100000000000001</v>
      </c>
      <c r="K40">
        <v>24</v>
      </c>
    </row>
    <row r="41" spans="1:11" x14ac:dyDescent="0.25">
      <c r="A41" t="s">
        <v>75</v>
      </c>
      <c r="B41">
        <v>0.19</v>
      </c>
      <c r="C41">
        <v>0.312</v>
      </c>
      <c r="D41">
        <v>0.19</v>
      </c>
      <c r="E41">
        <v>0.156</v>
      </c>
      <c r="F41">
        <v>0.09</v>
      </c>
      <c r="G41">
        <v>5.0000000000000001E-3</v>
      </c>
      <c r="H41">
        <v>1.5</v>
      </c>
      <c r="J41">
        <v>0.17100000000000001</v>
      </c>
      <c r="K41">
        <v>24</v>
      </c>
    </row>
    <row r="42" spans="1:11" x14ac:dyDescent="0.25">
      <c r="A42" t="s">
        <v>76</v>
      </c>
      <c r="B42">
        <v>0.19</v>
      </c>
      <c r="C42">
        <v>0.312</v>
      </c>
      <c r="D42">
        <v>0.19</v>
      </c>
      <c r="E42">
        <v>0.156</v>
      </c>
      <c r="F42">
        <v>0.09</v>
      </c>
      <c r="G42">
        <v>5.0000000000000001E-3</v>
      </c>
      <c r="H42">
        <v>1.75</v>
      </c>
      <c r="J42">
        <v>0.17100000000000001</v>
      </c>
      <c r="K42">
        <v>24</v>
      </c>
    </row>
    <row r="43" spans="1:11" x14ac:dyDescent="0.25">
      <c r="A43" t="s">
        <v>77</v>
      </c>
      <c r="B43">
        <v>0.19</v>
      </c>
      <c r="C43">
        <v>0.312</v>
      </c>
      <c r="D43">
        <v>0.19</v>
      </c>
      <c r="E43">
        <v>0.156</v>
      </c>
      <c r="F43">
        <v>0.09</v>
      </c>
      <c r="G43">
        <v>5.0000000000000001E-3</v>
      </c>
      <c r="H43">
        <v>2</v>
      </c>
      <c r="J43">
        <v>0.17100000000000001</v>
      </c>
      <c r="K43">
        <v>24</v>
      </c>
    </row>
    <row r="44" spans="1:11" x14ac:dyDescent="0.25">
      <c r="A44" t="s">
        <v>78</v>
      </c>
      <c r="B44">
        <v>0.25</v>
      </c>
      <c r="C44">
        <v>0.375</v>
      </c>
      <c r="D44">
        <v>0.25</v>
      </c>
      <c r="E44">
        <v>0.188</v>
      </c>
      <c r="F44">
        <v>0.12</v>
      </c>
      <c r="G44">
        <v>8.0000000000000002E-3</v>
      </c>
      <c r="H44">
        <v>0.375</v>
      </c>
      <c r="J44">
        <v>0.22500000000000001</v>
      </c>
      <c r="K44">
        <v>20</v>
      </c>
    </row>
    <row r="45" spans="1:11" x14ac:dyDescent="0.25">
      <c r="A45" t="s">
        <v>79</v>
      </c>
      <c r="B45">
        <v>0.25</v>
      </c>
      <c r="C45">
        <v>0.375</v>
      </c>
      <c r="D45">
        <v>0.25</v>
      </c>
      <c r="E45">
        <v>0.188</v>
      </c>
      <c r="F45">
        <v>0.12</v>
      </c>
      <c r="G45">
        <v>8.0000000000000002E-3</v>
      </c>
      <c r="H45">
        <v>0.5</v>
      </c>
      <c r="J45">
        <v>0.22500000000000001</v>
      </c>
      <c r="K45">
        <v>20</v>
      </c>
    </row>
    <row r="46" spans="1:11" x14ac:dyDescent="0.25">
      <c r="A46" t="s">
        <v>80</v>
      </c>
      <c r="B46">
        <v>0.25</v>
      </c>
      <c r="C46">
        <v>0.375</v>
      </c>
      <c r="D46">
        <v>0.25</v>
      </c>
      <c r="E46">
        <v>0.188</v>
      </c>
      <c r="F46">
        <v>0.12</v>
      </c>
      <c r="G46">
        <v>8.0000000000000002E-3</v>
      </c>
      <c r="H46">
        <v>0.625</v>
      </c>
      <c r="J46">
        <v>0.22500000000000001</v>
      </c>
      <c r="K46">
        <v>20</v>
      </c>
    </row>
    <row r="47" spans="1:11" x14ac:dyDescent="0.25">
      <c r="A47" t="s">
        <v>81</v>
      </c>
      <c r="B47">
        <v>0.25</v>
      </c>
      <c r="C47">
        <v>0.375</v>
      </c>
      <c r="D47">
        <v>0.25</v>
      </c>
      <c r="E47">
        <v>0.188</v>
      </c>
      <c r="F47">
        <v>0.12</v>
      </c>
      <c r="G47">
        <v>8.0000000000000002E-3</v>
      </c>
      <c r="H47">
        <v>0.75</v>
      </c>
      <c r="J47">
        <v>0.22500000000000001</v>
      </c>
      <c r="K47">
        <v>20</v>
      </c>
    </row>
    <row r="48" spans="1:11" x14ac:dyDescent="0.25">
      <c r="A48" t="s">
        <v>82</v>
      </c>
      <c r="B48">
        <v>0.25</v>
      </c>
      <c r="C48">
        <v>0.375</v>
      </c>
      <c r="D48">
        <v>0.25</v>
      </c>
      <c r="E48">
        <v>0.188</v>
      </c>
      <c r="F48">
        <v>0.12</v>
      </c>
      <c r="G48">
        <v>8.0000000000000002E-3</v>
      </c>
      <c r="H48">
        <v>0.875</v>
      </c>
      <c r="J48">
        <v>0.22500000000000001</v>
      </c>
      <c r="K48">
        <v>20</v>
      </c>
    </row>
    <row r="49" spans="1:11" x14ac:dyDescent="0.25">
      <c r="A49" t="s">
        <v>83</v>
      </c>
      <c r="B49">
        <v>0.25</v>
      </c>
      <c r="C49">
        <v>0.375</v>
      </c>
      <c r="D49">
        <v>0.25</v>
      </c>
      <c r="E49">
        <v>0.188</v>
      </c>
      <c r="F49">
        <v>0.12</v>
      </c>
      <c r="G49">
        <v>8.0000000000000002E-3</v>
      </c>
      <c r="H49">
        <v>1</v>
      </c>
      <c r="J49">
        <v>0.22500000000000001</v>
      </c>
      <c r="K49">
        <v>20</v>
      </c>
    </row>
    <row r="50" spans="1:11" x14ac:dyDescent="0.25">
      <c r="A50" t="s">
        <v>84</v>
      </c>
      <c r="B50">
        <v>0.25</v>
      </c>
      <c r="C50">
        <v>0.375</v>
      </c>
      <c r="D50">
        <v>0.25</v>
      </c>
      <c r="E50">
        <v>0.188</v>
      </c>
      <c r="F50">
        <v>0.12</v>
      </c>
      <c r="G50">
        <v>8.0000000000000002E-3</v>
      </c>
      <c r="H50">
        <v>1.25</v>
      </c>
      <c r="J50">
        <v>0.22500000000000001</v>
      </c>
      <c r="K50">
        <v>20</v>
      </c>
    </row>
    <row r="51" spans="1:11" x14ac:dyDescent="0.25">
      <c r="A51" t="s">
        <v>85</v>
      </c>
      <c r="B51">
        <v>0.25</v>
      </c>
      <c r="C51">
        <v>0.375</v>
      </c>
      <c r="D51">
        <v>0.25</v>
      </c>
      <c r="E51">
        <v>0.188</v>
      </c>
      <c r="F51">
        <v>0.12</v>
      </c>
      <c r="G51">
        <v>8.0000000000000002E-3</v>
      </c>
      <c r="H51">
        <v>1.5</v>
      </c>
      <c r="J51">
        <v>0.22500000000000001</v>
      </c>
      <c r="K51">
        <v>20</v>
      </c>
    </row>
    <row r="52" spans="1:11" x14ac:dyDescent="0.25">
      <c r="A52" t="s">
        <v>86</v>
      </c>
      <c r="B52">
        <v>0.25</v>
      </c>
      <c r="C52">
        <v>0.375</v>
      </c>
      <c r="D52">
        <v>0.25</v>
      </c>
      <c r="E52">
        <v>0.188</v>
      </c>
      <c r="F52">
        <v>0.12</v>
      </c>
      <c r="G52">
        <v>8.0000000000000002E-3</v>
      </c>
      <c r="H52">
        <v>1.75</v>
      </c>
      <c r="J52">
        <v>0.22500000000000001</v>
      </c>
      <c r="K52">
        <v>20</v>
      </c>
    </row>
    <row r="53" spans="1:11" x14ac:dyDescent="0.25">
      <c r="A53" t="s">
        <v>87</v>
      </c>
      <c r="B53">
        <v>0.25</v>
      </c>
      <c r="C53">
        <v>0.375</v>
      </c>
      <c r="D53">
        <v>0.25</v>
      </c>
      <c r="E53">
        <v>0.188</v>
      </c>
      <c r="F53">
        <v>0.12</v>
      </c>
      <c r="G53">
        <v>8.0000000000000002E-3</v>
      </c>
      <c r="H53">
        <v>2</v>
      </c>
      <c r="J53">
        <v>0.22500000000000001</v>
      </c>
      <c r="K53">
        <v>20</v>
      </c>
    </row>
    <row r="54" spans="1:11" x14ac:dyDescent="0.25">
      <c r="A54" t="s">
        <v>88</v>
      </c>
      <c r="B54">
        <v>0.25</v>
      </c>
      <c r="C54">
        <v>0.375</v>
      </c>
      <c r="D54">
        <v>0.25</v>
      </c>
      <c r="E54">
        <v>0.188</v>
      </c>
      <c r="F54">
        <v>0.12</v>
      </c>
      <c r="G54">
        <v>8.0000000000000002E-3</v>
      </c>
      <c r="H54">
        <v>2.25</v>
      </c>
      <c r="J54">
        <v>0.22500000000000001</v>
      </c>
      <c r="K54">
        <v>20</v>
      </c>
    </row>
    <row r="55" spans="1:11" x14ac:dyDescent="0.25">
      <c r="A55" t="s">
        <v>89</v>
      </c>
      <c r="B55">
        <v>0.3125</v>
      </c>
      <c r="C55">
        <v>0.46899999999999997</v>
      </c>
      <c r="D55">
        <v>0.3125</v>
      </c>
      <c r="E55">
        <v>0.25</v>
      </c>
      <c r="F55">
        <v>0.151</v>
      </c>
      <c r="G55">
        <v>8.0000000000000002E-3</v>
      </c>
      <c r="H55">
        <v>0.375</v>
      </c>
      <c r="J55">
        <v>0.28100000000000003</v>
      </c>
      <c r="K55">
        <v>18</v>
      </c>
    </row>
    <row r="56" spans="1:11" x14ac:dyDescent="0.25">
      <c r="A56" t="s">
        <v>90</v>
      </c>
      <c r="B56">
        <v>0.3125</v>
      </c>
      <c r="C56">
        <v>0.46899999999999997</v>
      </c>
      <c r="D56">
        <v>0.3125</v>
      </c>
      <c r="E56">
        <v>0.25</v>
      </c>
      <c r="F56">
        <v>0.151</v>
      </c>
      <c r="G56">
        <v>8.0000000000000002E-3</v>
      </c>
      <c r="H56">
        <v>0.5</v>
      </c>
      <c r="J56">
        <v>0.28100000000000003</v>
      </c>
      <c r="K56">
        <v>18</v>
      </c>
    </row>
    <row r="57" spans="1:11" x14ac:dyDescent="0.25">
      <c r="A57" t="s">
        <v>91</v>
      </c>
      <c r="B57">
        <v>0.3125</v>
      </c>
      <c r="C57">
        <v>0.46899999999999997</v>
      </c>
      <c r="D57">
        <v>0.3125</v>
      </c>
      <c r="E57">
        <v>0.25</v>
      </c>
      <c r="F57">
        <v>0.151</v>
      </c>
      <c r="G57">
        <v>8.0000000000000002E-3</v>
      </c>
      <c r="H57">
        <v>0.625</v>
      </c>
      <c r="J57">
        <v>0.28100000000000003</v>
      </c>
      <c r="K57">
        <v>18</v>
      </c>
    </row>
    <row r="58" spans="1:11" x14ac:dyDescent="0.25">
      <c r="A58" t="s">
        <v>92</v>
      </c>
      <c r="B58">
        <v>0.3125</v>
      </c>
      <c r="C58">
        <v>0.46899999999999997</v>
      </c>
      <c r="D58">
        <v>0.3125</v>
      </c>
      <c r="E58">
        <v>0.25</v>
      </c>
      <c r="F58">
        <v>0.151</v>
      </c>
      <c r="G58">
        <v>8.0000000000000002E-3</v>
      </c>
      <c r="H58">
        <v>0.75</v>
      </c>
      <c r="J58">
        <v>0.28100000000000003</v>
      </c>
      <c r="K58">
        <v>18</v>
      </c>
    </row>
    <row r="59" spans="1:11" x14ac:dyDescent="0.25">
      <c r="A59" t="s">
        <v>93</v>
      </c>
      <c r="B59">
        <v>0.3125</v>
      </c>
      <c r="C59">
        <v>0.46899999999999997</v>
      </c>
      <c r="D59">
        <v>0.3125</v>
      </c>
      <c r="E59">
        <v>0.25</v>
      </c>
      <c r="F59">
        <v>0.151</v>
      </c>
      <c r="G59">
        <v>8.0000000000000002E-3</v>
      </c>
      <c r="H59">
        <v>0.875</v>
      </c>
      <c r="J59">
        <v>0.28100000000000003</v>
      </c>
      <c r="K59">
        <v>18</v>
      </c>
    </row>
    <row r="60" spans="1:11" x14ac:dyDescent="0.25">
      <c r="A60" t="s">
        <v>94</v>
      </c>
      <c r="B60">
        <v>0.3125</v>
      </c>
      <c r="C60">
        <v>0.46899999999999997</v>
      </c>
      <c r="D60">
        <v>0.3125</v>
      </c>
      <c r="E60">
        <v>0.25</v>
      </c>
      <c r="F60">
        <v>0.151</v>
      </c>
      <c r="G60">
        <v>8.0000000000000002E-3</v>
      </c>
      <c r="H60">
        <v>1</v>
      </c>
      <c r="J60">
        <v>0.28100000000000003</v>
      </c>
      <c r="K60">
        <v>18</v>
      </c>
    </row>
    <row r="61" spans="1:11" x14ac:dyDescent="0.25">
      <c r="A61" t="s">
        <v>95</v>
      </c>
      <c r="B61">
        <v>0.3125</v>
      </c>
      <c r="C61">
        <v>0.46899999999999997</v>
      </c>
      <c r="D61">
        <v>0.3125</v>
      </c>
      <c r="E61">
        <v>0.25</v>
      </c>
      <c r="F61">
        <v>0.151</v>
      </c>
      <c r="G61">
        <v>8.0000000000000002E-3</v>
      </c>
      <c r="H61">
        <v>1.25</v>
      </c>
      <c r="J61">
        <v>0.28100000000000003</v>
      </c>
      <c r="K61">
        <v>18</v>
      </c>
    </row>
    <row r="62" spans="1:11" x14ac:dyDescent="0.25">
      <c r="A62" t="s">
        <v>96</v>
      </c>
      <c r="B62">
        <v>0.3125</v>
      </c>
      <c r="C62">
        <v>0.46899999999999997</v>
      </c>
      <c r="D62">
        <v>0.3125</v>
      </c>
      <c r="E62">
        <v>0.25</v>
      </c>
      <c r="F62">
        <v>0.151</v>
      </c>
      <c r="G62">
        <v>8.0000000000000002E-3</v>
      </c>
      <c r="H62">
        <v>1.5</v>
      </c>
      <c r="J62">
        <v>0.28100000000000003</v>
      </c>
      <c r="K62">
        <v>18</v>
      </c>
    </row>
    <row r="63" spans="1:11" x14ac:dyDescent="0.25">
      <c r="A63" t="s">
        <v>97</v>
      </c>
      <c r="B63">
        <v>0.3125</v>
      </c>
      <c r="C63">
        <v>0.46899999999999997</v>
      </c>
      <c r="D63">
        <v>0.3125</v>
      </c>
      <c r="E63">
        <v>0.25</v>
      </c>
      <c r="F63">
        <v>0.151</v>
      </c>
      <c r="G63">
        <v>8.0000000000000002E-3</v>
      </c>
      <c r="H63">
        <v>1.75</v>
      </c>
      <c r="J63">
        <v>0.28100000000000003</v>
      </c>
      <c r="K63">
        <v>18</v>
      </c>
    </row>
    <row r="64" spans="1:11" x14ac:dyDescent="0.25">
      <c r="A64" t="s">
        <v>98</v>
      </c>
      <c r="B64">
        <v>0.3125</v>
      </c>
      <c r="C64">
        <v>0.46899999999999997</v>
      </c>
      <c r="D64">
        <v>0.3125</v>
      </c>
      <c r="E64">
        <v>0.25</v>
      </c>
      <c r="F64">
        <v>0.151</v>
      </c>
      <c r="G64">
        <v>8.0000000000000002E-3</v>
      </c>
      <c r="H64">
        <v>2</v>
      </c>
      <c r="J64">
        <v>0.28100000000000003</v>
      </c>
      <c r="K64">
        <v>18</v>
      </c>
    </row>
    <row r="65" spans="1:11" x14ac:dyDescent="0.25">
      <c r="A65" t="s">
        <v>99</v>
      </c>
      <c r="B65">
        <v>0.3125</v>
      </c>
      <c r="C65">
        <v>0.46899999999999997</v>
      </c>
      <c r="D65">
        <v>0.3125</v>
      </c>
      <c r="E65">
        <v>0.25</v>
      </c>
      <c r="F65">
        <v>0.151</v>
      </c>
      <c r="G65">
        <v>8.0000000000000002E-3</v>
      </c>
      <c r="H65">
        <v>2.25</v>
      </c>
      <c r="J65">
        <v>0.28100000000000003</v>
      </c>
      <c r="K65">
        <v>18</v>
      </c>
    </row>
    <row r="66" spans="1:11" x14ac:dyDescent="0.25">
      <c r="A66" t="s">
        <v>100</v>
      </c>
      <c r="B66">
        <v>0.3125</v>
      </c>
      <c r="C66">
        <v>0.46899999999999997</v>
      </c>
      <c r="D66">
        <v>0.3125</v>
      </c>
      <c r="E66">
        <v>0.25</v>
      </c>
      <c r="F66">
        <v>0.151</v>
      </c>
      <c r="G66">
        <v>8.0000000000000002E-3</v>
      </c>
      <c r="H66">
        <v>2.5</v>
      </c>
      <c r="J66">
        <v>0.28100000000000003</v>
      </c>
      <c r="K66">
        <v>18</v>
      </c>
    </row>
    <row r="67" spans="1:11" x14ac:dyDescent="0.25">
      <c r="A67" t="s">
        <v>101</v>
      </c>
      <c r="B67">
        <v>0.375</v>
      </c>
      <c r="C67">
        <v>0.56200000000000006</v>
      </c>
      <c r="D67">
        <v>0.375</v>
      </c>
      <c r="E67">
        <v>0.312</v>
      </c>
      <c r="F67">
        <v>0.182</v>
      </c>
      <c r="G67">
        <v>8.0000000000000002E-3</v>
      </c>
      <c r="H67">
        <v>0.5</v>
      </c>
      <c r="J67">
        <v>0.33700000000000002</v>
      </c>
      <c r="K67">
        <v>16</v>
      </c>
    </row>
    <row r="68" spans="1:11" x14ac:dyDescent="0.25">
      <c r="A68" t="s">
        <v>102</v>
      </c>
      <c r="B68">
        <v>0.375</v>
      </c>
      <c r="C68">
        <v>0.56200000000000006</v>
      </c>
      <c r="D68">
        <v>0.375</v>
      </c>
      <c r="E68">
        <v>0.312</v>
      </c>
      <c r="F68">
        <v>0.182</v>
      </c>
      <c r="G68">
        <v>8.0000000000000002E-3</v>
      </c>
      <c r="H68">
        <v>0.625</v>
      </c>
      <c r="J68">
        <v>0.33700000000000002</v>
      </c>
      <c r="K68">
        <v>16</v>
      </c>
    </row>
    <row r="69" spans="1:11" x14ac:dyDescent="0.25">
      <c r="A69" t="s">
        <v>103</v>
      </c>
      <c r="B69">
        <v>0.375</v>
      </c>
      <c r="C69">
        <v>0.56200000000000006</v>
      </c>
      <c r="D69">
        <v>0.375</v>
      </c>
      <c r="E69">
        <v>0.312</v>
      </c>
      <c r="F69">
        <v>0.182</v>
      </c>
      <c r="G69">
        <v>8.0000000000000002E-3</v>
      </c>
      <c r="H69">
        <v>0.75</v>
      </c>
      <c r="J69">
        <v>0.33700000000000002</v>
      </c>
      <c r="K69">
        <v>16</v>
      </c>
    </row>
    <row r="70" spans="1:11" x14ac:dyDescent="0.25">
      <c r="A70" t="s">
        <v>104</v>
      </c>
      <c r="B70">
        <v>0.375</v>
      </c>
      <c r="C70">
        <v>0.56200000000000006</v>
      </c>
      <c r="D70">
        <v>0.375</v>
      </c>
      <c r="E70">
        <v>0.312</v>
      </c>
      <c r="F70">
        <v>0.182</v>
      </c>
      <c r="G70">
        <v>8.0000000000000002E-3</v>
      </c>
      <c r="H70">
        <v>0.875</v>
      </c>
      <c r="J70">
        <v>0.33700000000000002</v>
      </c>
      <c r="K70">
        <v>16</v>
      </c>
    </row>
    <row r="71" spans="1:11" x14ac:dyDescent="0.25">
      <c r="A71" t="s">
        <v>105</v>
      </c>
      <c r="B71">
        <v>0.375</v>
      </c>
      <c r="C71">
        <v>0.56200000000000006</v>
      </c>
      <c r="D71">
        <v>0.375</v>
      </c>
      <c r="E71">
        <v>0.312</v>
      </c>
      <c r="F71">
        <v>0.182</v>
      </c>
      <c r="G71">
        <v>8.0000000000000002E-3</v>
      </c>
      <c r="H71">
        <v>1</v>
      </c>
      <c r="J71">
        <v>0.33700000000000002</v>
      </c>
      <c r="K71">
        <v>16</v>
      </c>
    </row>
    <row r="72" spans="1:11" x14ac:dyDescent="0.25">
      <c r="A72" t="s">
        <v>106</v>
      </c>
      <c r="B72">
        <v>0.375</v>
      </c>
      <c r="C72">
        <v>0.56200000000000006</v>
      </c>
      <c r="D72">
        <v>0.375</v>
      </c>
      <c r="E72">
        <v>0.312</v>
      </c>
      <c r="F72">
        <v>0.182</v>
      </c>
      <c r="G72">
        <v>8.0000000000000002E-3</v>
      </c>
      <c r="H72">
        <v>1.25</v>
      </c>
      <c r="J72">
        <v>0.33700000000000002</v>
      </c>
      <c r="K72">
        <v>16</v>
      </c>
    </row>
    <row r="73" spans="1:11" x14ac:dyDescent="0.25">
      <c r="A73" t="s">
        <v>107</v>
      </c>
      <c r="B73">
        <v>0.375</v>
      </c>
      <c r="C73">
        <v>0.56200000000000006</v>
      </c>
      <c r="D73">
        <v>0.375</v>
      </c>
      <c r="E73">
        <v>0.312</v>
      </c>
      <c r="F73">
        <v>0.182</v>
      </c>
      <c r="G73">
        <v>8.0000000000000002E-3</v>
      </c>
      <c r="H73">
        <v>1.5</v>
      </c>
      <c r="J73">
        <v>0.33700000000000002</v>
      </c>
      <c r="K73">
        <v>16</v>
      </c>
    </row>
    <row r="74" spans="1:11" x14ac:dyDescent="0.25">
      <c r="A74" t="s">
        <v>108</v>
      </c>
      <c r="B74">
        <v>0.375</v>
      </c>
      <c r="C74">
        <v>0.56200000000000006</v>
      </c>
      <c r="D74">
        <v>0.375</v>
      </c>
      <c r="E74">
        <v>0.312</v>
      </c>
      <c r="F74">
        <v>0.182</v>
      </c>
      <c r="G74">
        <v>8.0000000000000002E-3</v>
      </c>
      <c r="H74">
        <v>1.75</v>
      </c>
      <c r="J74">
        <v>0.33700000000000002</v>
      </c>
      <c r="K74">
        <v>16</v>
      </c>
    </row>
    <row r="75" spans="1:11" x14ac:dyDescent="0.25">
      <c r="A75" t="s">
        <v>109</v>
      </c>
      <c r="B75">
        <v>0.375</v>
      </c>
      <c r="C75">
        <v>0.56200000000000006</v>
      </c>
      <c r="D75">
        <v>0.375</v>
      </c>
      <c r="E75">
        <v>0.312</v>
      </c>
      <c r="F75">
        <v>0.182</v>
      </c>
      <c r="G75">
        <v>8.0000000000000002E-3</v>
      </c>
      <c r="H75">
        <v>2</v>
      </c>
      <c r="J75">
        <v>0.33700000000000002</v>
      </c>
      <c r="K75">
        <v>16</v>
      </c>
    </row>
    <row r="76" spans="1:11" x14ac:dyDescent="0.25">
      <c r="A76" t="s">
        <v>110</v>
      </c>
      <c r="B76">
        <v>0.375</v>
      </c>
      <c r="C76">
        <v>0.56200000000000006</v>
      </c>
      <c r="D76">
        <v>0.375</v>
      </c>
      <c r="E76">
        <v>0.312</v>
      </c>
      <c r="F76">
        <v>0.182</v>
      </c>
      <c r="G76">
        <v>8.0000000000000002E-3</v>
      </c>
      <c r="H76">
        <v>2.25</v>
      </c>
      <c r="J76">
        <v>0.33700000000000002</v>
      </c>
      <c r="K76">
        <v>16</v>
      </c>
    </row>
    <row r="77" spans="1:11" x14ac:dyDescent="0.25">
      <c r="A77" t="s">
        <v>111</v>
      </c>
      <c r="B77">
        <v>0.375</v>
      </c>
      <c r="C77">
        <v>0.56200000000000006</v>
      </c>
      <c r="D77">
        <v>0.375</v>
      </c>
      <c r="E77">
        <v>0.312</v>
      </c>
      <c r="F77">
        <v>0.182</v>
      </c>
      <c r="G77">
        <v>8.0000000000000002E-3</v>
      </c>
      <c r="H77">
        <v>2.5</v>
      </c>
      <c r="J77">
        <v>0.33700000000000002</v>
      </c>
      <c r="K77">
        <v>16</v>
      </c>
    </row>
    <row r="78" spans="1:11" x14ac:dyDescent="0.25">
      <c r="A78" t="s">
        <v>112</v>
      </c>
      <c r="B78">
        <v>0.375</v>
      </c>
      <c r="C78">
        <v>0.56200000000000006</v>
      </c>
      <c r="D78">
        <v>0.375</v>
      </c>
      <c r="E78">
        <v>0.312</v>
      </c>
      <c r="F78">
        <v>0.182</v>
      </c>
      <c r="G78">
        <v>8.0000000000000002E-3</v>
      </c>
      <c r="H78">
        <v>2.75</v>
      </c>
      <c r="J78">
        <v>0.33700000000000002</v>
      </c>
      <c r="K78">
        <v>16</v>
      </c>
    </row>
    <row r="79" spans="1:11" x14ac:dyDescent="0.25">
      <c r="A79" t="s">
        <v>113</v>
      </c>
      <c r="B79">
        <v>0.375</v>
      </c>
      <c r="C79">
        <v>0.56200000000000006</v>
      </c>
      <c r="D79">
        <v>0.375</v>
      </c>
      <c r="E79">
        <v>0.312</v>
      </c>
      <c r="F79">
        <v>0.182</v>
      </c>
      <c r="G79">
        <v>8.0000000000000002E-3</v>
      </c>
      <c r="H79">
        <v>3</v>
      </c>
      <c r="J79">
        <v>0.33700000000000002</v>
      </c>
      <c r="K79">
        <v>16</v>
      </c>
    </row>
    <row r="80" spans="1:11" x14ac:dyDescent="0.25">
      <c r="A80" t="s">
        <v>114</v>
      </c>
      <c r="B80">
        <v>0.4375</v>
      </c>
      <c r="C80">
        <v>0.65600000000000003</v>
      </c>
      <c r="D80">
        <v>0.4375</v>
      </c>
      <c r="E80">
        <v>0.375</v>
      </c>
      <c r="F80">
        <v>0.21299999999999999</v>
      </c>
      <c r="G80">
        <v>0.01</v>
      </c>
      <c r="H80">
        <v>0.75</v>
      </c>
      <c r="J80">
        <v>0.39400000000000002</v>
      </c>
      <c r="K80">
        <v>14</v>
      </c>
    </row>
    <row r="81" spans="1:11" x14ac:dyDescent="0.25">
      <c r="A81" t="s">
        <v>115</v>
      </c>
      <c r="B81">
        <v>0.4375</v>
      </c>
      <c r="C81">
        <v>0.65600000000000003</v>
      </c>
      <c r="D81">
        <v>0.4375</v>
      </c>
      <c r="E81">
        <v>0.375</v>
      </c>
      <c r="F81">
        <v>0.21299999999999999</v>
      </c>
      <c r="G81">
        <v>0.01</v>
      </c>
      <c r="H81">
        <v>0.875</v>
      </c>
      <c r="J81">
        <v>0.39400000000000002</v>
      </c>
      <c r="K81">
        <v>14</v>
      </c>
    </row>
    <row r="82" spans="1:11" x14ac:dyDescent="0.25">
      <c r="A82" t="s">
        <v>116</v>
      </c>
      <c r="B82">
        <v>0.4375</v>
      </c>
      <c r="C82">
        <v>0.65600000000000003</v>
      </c>
      <c r="D82">
        <v>0.4375</v>
      </c>
      <c r="E82">
        <v>0.375</v>
      </c>
      <c r="F82">
        <v>0.21299999999999999</v>
      </c>
      <c r="G82">
        <v>0.01</v>
      </c>
      <c r="H82">
        <v>1</v>
      </c>
      <c r="J82">
        <v>0.39400000000000002</v>
      </c>
      <c r="K82">
        <v>14</v>
      </c>
    </row>
    <row r="83" spans="1:11" x14ac:dyDescent="0.25">
      <c r="A83" t="s">
        <v>117</v>
      </c>
      <c r="B83">
        <v>0.4375</v>
      </c>
      <c r="C83">
        <v>0.65600000000000003</v>
      </c>
      <c r="D83">
        <v>0.4375</v>
      </c>
      <c r="E83">
        <v>0.375</v>
      </c>
      <c r="F83">
        <v>0.21299999999999999</v>
      </c>
      <c r="G83">
        <v>0.01</v>
      </c>
      <c r="H83">
        <v>1.25</v>
      </c>
      <c r="J83">
        <v>0.39400000000000002</v>
      </c>
      <c r="K83">
        <v>14</v>
      </c>
    </row>
    <row r="84" spans="1:11" x14ac:dyDescent="0.25">
      <c r="A84" t="s">
        <v>118</v>
      </c>
      <c r="B84">
        <v>0.4375</v>
      </c>
      <c r="C84">
        <v>0.65600000000000003</v>
      </c>
      <c r="D84">
        <v>0.4375</v>
      </c>
      <c r="E84">
        <v>0.375</v>
      </c>
      <c r="F84">
        <v>0.21299999999999999</v>
      </c>
      <c r="G84">
        <v>0.01</v>
      </c>
      <c r="H84">
        <v>1.5</v>
      </c>
      <c r="J84">
        <v>0.39400000000000002</v>
      </c>
      <c r="K84">
        <v>14</v>
      </c>
    </row>
    <row r="85" spans="1:11" x14ac:dyDescent="0.25">
      <c r="A85" t="s">
        <v>119</v>
      </c>
      <c r="B85">
        <v>0.4375</v>
      </c>
      <c r="C85">
        <v>0.65600000000000003</v>
      </c>
      <c r="D85">
        <v>0.4375</v>
      </c>
      <c r="E85">
        <v>0.375</v>
      </c>
      <c r="F85">
        <v>0.21299999999999999</v>
      </c>
      <c r="G85">
        <v>0.01</v>
      </c>
      <c r="H85">
        <v>1.75</v>
      </c>
      <c r="J85">
        <v>0.39400000000000002</v>
      </c>
      <c r="K85">
        <v>14</v>
      </c>
    </row>
    <row r="86" spans="1:11" x14ac:dyDescent="0.25">
      <c r="A86" t="s">
        <v>120</v>
      </c>
      <c r="B86">
        <v>0.4375</v>
      </c>
      <c r="C86">
        <v>0.65600000000000003</v>
      </c>
      <c r="D86">
        <v>0.4375</v>
      </c>
      <c r="E86">
        <v>0.375</v>
      </c>
      <c r="F86">
        <v>0.21299999999999999</v>
      </c>
      <c r="G86">
        <v>0.01</v>
      </c>
      <c r="H86">
        <v>2</v>
      </c>
      <c r="J86">
        <v>0.39400000000000002</v>
      </c>
      <c r="K86">
        <v>14</v>
      </c>
    </row>
    <row r="87" spans="1:11" x14ac:dyDescent="0.25">
      <c r="A87" t="s">
        <v>121</v>
      </c>
      <c r="B87">
        <v>0.4375</v>
      </c>
      <c r="C87">
        <v>0.65600000000000003</v>
      </c>
      <c r="D87">
        <v>0.4375</v>
      </c>
      <c r="E87">
        <v>0.375</v>
      </c>
      <c r="F87">
        <v>0.21299999999999999</v>
      </c>
      <c r="G87">
        <v>0.01</v>
      </c>
      <c r="H87">
        <v>2.25</v>
      </c>
      <c r="J87">
        <v>0.39400000000000002</v>
      </c>
      <c r="K87">
        <v>14</v>
      </c>
    </row>
    <row r="88" spans="1:11" x14ac:dyDescent="0.25">
      <c r="A88" t="s">
        <v>122</v>
      </c>
      <c r="B88">
        <v>0.4375</v>
      </c>
      <c r="C88">
        <v>0.65600000000000003</v>
      </c>
      <c r="D88">
        <v>0.4375</v>
      </c>
      <c r="E88">
        <v>0.375</v>
      </c>
      <c r="F88">
        <v>0.21299999999999999</v>
      </c>
      <c r="G88">
        <v>0.01</v>
      </c>
      <c r="H88">
        <v>2.5</v>
      </c>
      <c r="J88">
        <v>0.39400000000000002</v>
      </c>
      <c r="K88">
        <v>14</v>
      </c>
    </row>
    <row r="89" spans="1:11" x14ac:dyDescent="0.25">
      <c r="A89" t="s">
        <v>123</v>
      </c>
      <c r="B89">
        <v>0.4375</v>
      </c>
      <c r="C89">
        <v>0.65600000000000003</v>
      </c>
      <c r="D89">
        <v>0.4375</v>
      </c>
      <c r="E89">
        <v>0.375</v>
      </c>
      <c r="F89">
        <v>0.21299999999999999</v>
      </c>
      <c r="G89">
        <v>0.01</v>
      </c>
      <c r="H89">
        <v>2.75</v>
      </c>
      <c r="J89">
        <v>0.39400000000000002</v>
      </c>
      <c r="K89">
        <v>14</v>
      </c>
    </row>
    <row r="90" spans="1:11" x14ac:dyDescent="0.25">
      <c r="A90" t="s">
        <v>124</v>
      </c>
      <c r="B90">
        <v>0.4375</v>
      </c>
      <c r="C90">
        <v>0.65600000000000003</v>
      </c>
      <c r="D90">
        <v>0.4375</v>
      </c>
      <c r="E90">
        <v>0.375</v>
      </c>
      <c r="F90">
        <v>0.21299999999999999</v>
      </c>
      <c r="G90">
        <v>0.01</v>
      </c>
      <c r="H90">
        <v>3</v>
      </c>
      <c r="J90">
        <v>0.39400000000000002</v>
      </c>
      <c r="K90">
        <v>14</v>
      </c>
    </row>
    <row r="91" spans="1:11" x14ac:dyDescent="0.25">
      <c r="A91" t="s">
        <v>125</v>
      </c>
      <c r="B91">
        <v>0.5</v>
      </c>
      <c r="C91">
        <v>0.75</v>
      </c>
      <c r="D91">
        <v>0.5</v>
      </c>
      <c r="E91">
        <v>0.375</v>
      </c>
      <c r="F91">
        <v>0.245</v>
      </c>
      <c r="G91">
        <v>0.01</v>
      </c>
      <c r="H91">
        <v>0.75</v>
      </c>
      <c r="J91">
        <v>0.45</v>
      </c>
      <c r="K91">
        <v>13</v>
      </c>
    </row>
    <row r="92" spans="1:11" x14ac:dyDescent="0.25">
      <c r="A92" t="s">
        <v>126</v>
      </c>
      <c r="B92">
        <v>0.5</v>
      </c>
      <c r="C92">
        <v>0.75</v>
      </c>
      <c r="D92">
        <v>0.5</v>
      </c>
      <c r="E92">
        <v>0.375</v>
      </c>
      <c r="F92">
        <v>0.245</v>
      </c>
      <c r="G92">
        <v>0.01</v>
      </c>
      <c r="H92">
        <v>0.875</v>
      </c>
      <c r="J92">
        <v>0.45</v>
      </c>
      <c r="K92">
        <v>13</v>
      </c>
    </row>
    <row r="93" spans="1:11" x14ac:dyDescent="0.25">
      <c r="A93" t="s">
        <v>127</v>
      </c>
      <c r="B93">
        <v>0.5</v>
      </c>
      <c r="C93">
        <v>0.75</v>
      </c>
      <c r="D93">
        <v>0.5</v>
      </c>
      <c r="E93">
        <v>0.375</v>
      </c>
      <c r="F93">
        <v>0.245</v>
      </c>
      <c r="G93">
        <v>0.01</v>
      </c>
      <c r="H93">
        <v>1</v>
      </c>
      <c r="J93">
        <v>0.45</v>
      </c>
      <c r="K93">
        <v>13</v>
      </c>
    </row>
    <row r="94" spans="1:11" x14ac:dyDescent="0.25">
      <c r="A94" t="s">
        <v>128</v>
      </c>
      <c r="B94">
        <v>0.5</v>
      </c>
      <c r="C94">
        <v>0.75</v>
      </c>
      <c r="D94">
        <v>0.5</v>
      </c>
      <c r="E94">
        <v>0.375</v>
      </c>
      <c r="F94">
        <v>0.245</v>
      </c>
      <c r="G94">
        <v>0.01</v>
      </c>
      <c r="H94">
        <v>1.25</v>
      </c>
      <c r="J94">
        <v>0.45</v>
      </c>
      <c r="K94">
        <v>13</v>
      </c>
    </row>
    <row r="95" spans="1:11" x14ac:dyDescent="0.25">
      <c r="A95" t="s">
        <v>129</v>
      </c>
      <c r="B95">
        <v>0.5</v>
      </c>
      <c r="C95">
        <v>0.75</v>
      </c>
      <c r="D95">
        <v>0.5</v>
      </c>
      <c r="E95">
        <v>0.375</v>
      </c>
      <c r="F95">
        <v>0.245</v>
      </c>
      <c r="G95">
        <v>0.01</v>
      </c>
      <c r="H95">
        <v>1.5</v>
      </c>
      <c r="J95">
        <v>0.45</v>
      </c>
      <c r="K95">
        <v>13</v>
      </c>
    </row>
    <row r="96" spans="1:11" x14ac:dyDescent="0.25">
      <c r="A96" t="s">
        <v>130</v>
      </c>
      <c r="B96">
        <v>0.5</v>
      </c>
      <c r="C96">
        <v>0.75</v>
      </c>
      <c r="D96">
        <v>0.5</v>
      </c>
      <c r="E96">
        <v>0.375</v>
      </c>
      <c r="F96">
        <v>0.245</v>
      </c>
      <c r="G96">
        <v>0.01</v>
      </c>
      <c r="H96">
        <v>1.75</v>
      </c>
      <c r="J96">
        <v>0.45</v>
      </c>
      <c r="K96">
        <v>13</v>
      </c>
    </row>
    <row r="97" spans="1:11" x14ac:dyDescent="0.25">
      <c r="A97" t="s">
        <v>131</v>
      </c>
      <c r="B97">
        <v>0.5</v>
      </c>
      <c r="C97">
        <v>0.75</v>
      </c>
      <c r="D97">
        <v>0.5</v>
      </c>
      <c r="E97">
        <v>0.375</v>
      </c>
      <c r="F97">
        <v>0.245</v>
      </c>
      <c r="G97">
        <v>0.01</v>
      </c>
      <c r="H97">
        <v>2</v>
      </c>
      <c r="J97">
        <v>0.45</v>
      </c>
      <c r="K97">
        <v>13</v>
      </c>
    </row>
    <row r="98" spans="1:11" x14ac:dyDescent="0.25">
      <c r="A98" t="s">
        <v>132</v>
      </c>
      <c r="B98">
        <v>0.5</v>
      </c>
      <c r="C98">
        <v>0.75</v>
      </c>
      <c r="D98">
        <v>0.5</v>
      </c>
      <c r="E98">
        <v>0.375</v>
      </c>
      <c r="F98">
        <v>0.245</v>
      </c>
      <c r="G98">
        <v>0.01</v>
      </c>
      <c r="H98">
        <v>2.25</v>
      </c>
      <c r="J98">
        <v>0.45</v>
      </c>
      <c r="K98">
        <v>13</v>
      </c>
    </row>
    <row r="99" spans="1:11" x14ac:dyDescent="0.25">
      <c r="A99" t="s">
        <v>133</v>
      </c>
      <c r="B99">
        <v>0.5</v>
      </c>
      <c r="C99">
        <v>0.75</v>
      </c>
      <c r="D99">
        <v>0.5</v>
      </c>
      <c r="E99">
        <v>0.375</v>
      </c>
      <c r="F99">
        <v>0.245</v>
      </c>
      <c r="G99">
        <v>0.01</v>
      </c>
      <c r="H99">
        <v>2.5</v>
      </c>
      <c r="J99">
        <v>0.45</v>
      </c>
      <c r="K99">
        <v>13</v>
      </c>
    </row>
    <row r="100" spans="1:11" x14ac:dyDescent="0.25">
      <c r="A100" t="s">
        <v>134</v>
      </c>
      <c r="B100">
        <v>0.5</v>
      </c>
      <c r="C100">
        <v>0.75</v>
      </c>
      <c r="D100">
        <v>0.5</v>
      </c>
      <c r="E100">
        <v>0.375</v>
      </c>
      <c r="F100">
        <v>0.245</v>
      </c>
      <c r="G100">
        <v>0.01</v>
      </c>
      <c r="H100">
        <v>2.75</v>
      </c>
      <c r="J100">
        <v>0.45</v>
      </c>
      <c r="K100">
        <v>13</v>
      </c>
    </row>
    <row r="101" spans="1:11" x14ac:dyDescent="0.25">
      <c r="A101" t="s">
        <v>135</v>
      </c>
      <c r="B101">
        <v>0.5</v>
      </c>
      <c r="C101">
        <v>0.75</v>
      </c>
      <c r="D101">
        <v>0.5</v>
      </c>
      <c r="E101">
        <v>0.375</v>
      </c>
      <c r="F101">
        <v>0.245</v>
      </c>
      <c r="G101">
        <v>0.01</v>
      </c>
      <c r="H101">
        <v>3</v>
      </c>
      <c r="J101">
        <v>0.45</v>
      </c>
      <c r="K101">
        <v>13</v>
      </c>
    </row>
    <row r="102" spans="1:11" x14ac:dyDescent="0.25">
      <c r="A102" t="s">
        <v>136</v>
      </c>
      <c r="B102">
        <v>0.625</v>
      </c>
      <c r="C102">
        <v>0.93700000000000006</v>
      </c>
      <c r="D102">
        <v>0.625</v>
      </c>
      <c r="E102">
        <v>0.5</v>
      </c>
      <c r="F102">
        <v>0.307</v>
      </c>
      <c r="G102">
        <v>0.01</v>
      </c>
      <c r="H102">
        <v>1</v>
      </c>
      <c r="J102">
        <v>0.56200000000000006</v>
      </c>
      <c r="K102">
        <v>11</v>
      </c>
    </row>
    <row r="103" spans="1:11" x14ac:dyDescent="0.25">
      <c r="A103" t="s">
        <v>137</v>
      </c>
      <c r="B103">
        <v>0.625</v>
      </c>
      <c r="C103">
        <v>0.93700000000000006</v>
      </c>
      <c r="D103">
        <v>0.625</v>
      </c>
      <c r="E103">
        <v>0.5</v>
      </c>
      <c r="F103">
        <v>0.307</v>
      </c>
      <c r="G103">
        <v>0.01</v>
      </c>
      <c r="H103">
        <v>1.25</v>
      </c>
      <c r="J103">
        <v>0.56200000000000006</v>
      </c>
      <c r="K103">
        <v>11</v>
      </c>
    </row>
    <row r="104" spans="1:11" x14ac:dyDescent="0.25">
      <c r="A104" t="s">
        <v>138</v>
      </c>
      <c r="B104">
        <v>0.625</v>
      </c>
      <c r="C104">
        <v>0.93700000000000006</v>
      </c>
      <c r="D104">
        <v>0.625</v>
      </c>
      <c r="E104">
        <v>0.5</v>
      </c>
      <c r="F104">
        <v>0.307</v>
      </c>
      <c r="G104">
        <v>0.01</v>
      </c>
      <c r="H104">
        <v>1.5</v>
      </c>
      <c r="J104">
        <v>0.56200000000000006</v>
      </c>
      <c r="K104">
        <v>11</v>
      </c>
    </row>
    <row r="105" spans="1:11" x14ac:dyDescent="0.25">
      <c r="A105" t="s">
        <v>139</v>
      </c>
      <c r="B105">
        <v>0.625</v>
      </c>
      <c r="C105">
        <v>0.93700000000000006</v>
      </c>
      <c r="D105">
        <v>0.625</v>
      </c>
      <c r="E105">
        <v>0.5</v>
      </c>
      <c r="F105">
        <v>0.307</v>
      </c>
      <c r="G105">
        <v>0.01</v>
      </c>
      <c r="H105">
        <v>1.75</v>
      </c>
      <c r="J105">
        <v>0.56200000000000006</v>
      </c>
      <c r="K105">
        <v>11</v>
      </c>
    </row>
    <row r="106" spans="1:11" x14ac:dyDescent="0.25">
      <c r="A106" t="s">
        <v>140</v>
      </c>
      <c r="B106">
        <v>0.625</v>
      </c>
      <c r="C106">
        <v>0.93700000000000006</v>
      </c>
      <c r="D106">
        <v>0.625</v>
      </c>
      <c r="E106">
        <v>0.5</v>
      </c>
      <c r="F106">
        <v>0.307</v>
      </c>
      <c r="G106">
        <v>0.01</v>
      </c>
      <c r="H106">
        <v>2</v>
      </c>
      <c r="J106">
        <v>0.56200000000000006</v>
      </c>
      <c r="K106">
        <v>11</v>
      </c>
    </row>
    <row r="107" spans="1:11" x14ac:dyDescent="0.25">
      <c r="A107" t="s">
        <v>141</v>
      </c>
      <c r="B107">
        <v>0.625</v>
      </c>
      <c r="C107">
        <v>0.93700000000000006</v>
      </c>
      <c r="D107">
        <v>0.625</v>
      </c>
      <c r="E107">
        <v>0.5</v>
      </c>
      <c r="F107">
        <v>0.307</v>
      </c>
      <c r="G107">
        <v>0.01</v>
      </c>
      <c r="H107">
        <v>2.25</v>
      </c>
      <c r="J107">
        <v>0.56200000000000006</v>
      </c>
      <c r="K107">
        <v>11</v>
      </c>
    </row>
    <row r="108" spans="1:11" x14ac:dyDescent="0.25">
      <c r="A108" t="s">
        <v>142</v>
      </c>
      <c r="B108">
        <v>0.625</v>
      </c>
      <c r="C108">
        <v>0.93700000000000006</v>
      </c>
      <c r="D108">
        <v>0.625</v>
      </c>
      <c r="E108">
        <v>0.5</v>
      </c>
      <c r="F108">
        <v>0.307</v>
      </c>
      <c r="G108">
        <v>0.01</v>
      </c>
      <c r="H108">
        <v>2.5</v>
      </c>
      <c r="J108">
        <v>0.56200000000000006</v>
      </c>
      <c r="K108">
        <v>11</v>
      </c>
    </row>
    <row r="109" spans="1:11" x14ac:dyDescent="0.25">
      <c r="A109" t="s">
        <v>143</v>
      </c>
      <c r="B109">
        <v>0.625</v>
      </c>
      <c r="C109">
        <v>0.93700000000000006</v>
      </c>
      <c r="D109">
        <v>0.625</v>
      </c>
      <c r="E109">
        <v>0.5</v>
      </c>
      <c r="F109">
        <v>0.307</v>
      </c>
      <c r="G109">
        <v>0.01</v>
      </c>
      <c r="H109">
        <v>2.75</v>
      </c>
      <c r="J109">
        <v>0.56200000000000006</v>
      </c>
      <c r="K109">
        <v>11</v>
      </c>
    </row>
    <row r="110" spans="1:11" x14ac:dyDescent="0.25">
      <c r="A110" t="s">
        <v>144</v>
      </c>
      <c r="B110">
        <v>0.625</v>
      </c>
      <c r="C110">
        <v>0.93700000000000006</v>
      </c>
      <c r="D110">
        <v>0.625</v>
      </c>
      <c r="E110">
        <v>0.5</v>
      </c>
      <c r="F110">
        <v>0.307</v>
      </c>
      <c r="G110">
        <v>0.01</v>
      </c>
      <c r="H110">
        <v>3</v>
      </c>
      <c r="J110">
        <v>0.56200000000000006</v>
      </c>
      <c r="K110">
        <v>11</v>
      </c>
    </row>
    <row r="111" spans="1:11" x14ac:dyDescent="0.25">
      <c r="A111" t="s">
        <v>145</v>
      </c>
      <c r="B111">
        <v>0.75</v>
      </c>
      <c r="C111">
        <v>1.125</v>
      </c>
      <c r="D111">
        <v>0.75</v>
      </c>
      <c r="E111">
        <v>0.625</v>
      </c>
      <c r="F111">
        <v>0.37</v>
      </c>
      <c r="G111">
        <v>0.01</v>
      </c>
      <c r="H111">
        <v>1.5</v>
      </c>
      <c r="J111">
        <v>0.67500000000000004</v>
      </c>
      <c r="K111">
        <v>10</v>
      </c>
    </row>
    <row r="112" spans="1:11" x14ac:dyDescent="0.25">
      <c r="A112" t="s">
        <v>146</v>
      </c>
      <c r="B112">
        <v>0.75</v>
      </c>
      <c r="C112">
        <v>1.125</v>
      </c>
      <c r="D112">
        <v>0.75</v>
      </c>
      <c r="E112">
        <v>0.625</v>
      </c>
      <c r="F112">
        <v>0.37</v>
      </c>
      <c r="G112">
        <v>0.01</v>
      </c>
      <c r="H112">
        <v>1.75</v>
      </c>
      <c r="J112">
        <v>0.67500000000000004</v>
      </c>
      <c r="K112">
        <v>10</v>
      </c>
    </row>
    <row r="113" spans="1:11" x14ac:dyDescent="0.25">
      <c r="A113" t="s">
        <v>147</v>
      </c>
      <c r="B113">
        <v>0.75</v>
      </c>
      <c r="C113">
        <v>1.125</v>
      </c>
      <c r="D113">
        <v>0.75</v>
      </c>
      <c r="E113">
        <v>0.625</v>
      </c>
      <c r="F113">
        <v>0.37</v>
      </c>
      <c r="G113">
        <v>0.01</v>
      </c>
      <c r="H113">
        <v>2</v>
      </c>
      <c r="J113">
        <v>0.67500000000000004</v>
      </c>
      <c r="K113">
        <v>10</v>
      </c>
    </row>
    <row r="114" spans="1:11" x14ac:dyDescent="0.25">
      <c r="A114" t="s">
        <v>148</v>
      </c>
      <c r="B114">
        <v>0.75</v>
      </c>
      <c r="C114">
        <v>1.125</v>
      </c>
      <c r="D114">
        <v>0.75</v>
      </c>
      <c r="E114">
        <v>0.625</v>
      </c>
      <c r="F114">
        <v>0.37</v>
      </c>
      <c r="G114">
        <v>0.01</v>
      </c>
      <c r="H114">
        <v>2.25</v>
      </c>
      <c r="J114">
        <v>0.67500000000000004</v>
      </c>
      <c r="K114">
        <v>10</v>
      </c>
    </row>
    <row r="115" spans="1:11" x14ac:dyDescent="0.25">
      <c r="A115" t="s">
        <v>149</v>
      </c>
      <c r="B115">
        <v>0.75</v>
      </c>
      <c r="C115">
        <v>1.125</v>
      </c>
      <c r="D115">
        <v>0.75</v>
      </c>
      <c r="E115">
        <v>0.625</v>
      </c>
      <c r="F115">
        <v>0.37</v>
      </c>
      <c r="G115">
        <v>0.01</v>
      </c>
      <c r="H115">
        <v>2.5</v>
      </c>
      <c r="J115">
        <v>0.67500000000000004</v>
      </c>
      <c r="K115">
        <v>10</v>
      </c>
    </row>
    <row r="116" spans="1:11" x14ac:dyDescent="0.25">
      <c r="A116" t="s">
        <v>150</v>
      </c>
      <c r="B116">
        <v>0.75</v>
      </c>
      <c r="C116">
        <v>1.125</v>
      </c>
      <c r="D116">
        <v>0.75</v>
      </c>
      <c r="E116">
        <v>0.625</v>
      </c>
      <c r="F116">
        <v>0.37</v>
      </c>
      <c r="G116">
        <v>0.01</v>
      </c>
      <c r="H116">
        <v>2.75</v>
      </c>
      <c r="J116">
        <v>0.67500000000000004</v>
      </c>
      <c r="K116">
        <v>10</v>
      </c>
    </row>
    <row r="117" spans="1:11" x14ac:dyDescent="0.25">
      <c r="A117" t="s">
        <v>151</v>
      </c>
      <c r="B117">
        <v>0.75</v>
      </c>
      <c r="C117">
        <v>1.125</v>
      </c>
      <c r="D117">
        <v>0.75</v>
      </c>
      <c r="E117">
        <v>0.625</v>
      </c>
      <c r="F117">
        <v>0.37</v>
      </c>
      <c r="G117">
        <v>0.01</v>
      </c>
      <c r="H117">
        <v>3</v>
      </c>
      <c r="J117">
        <v>0.67500000000000004</v>
      </c>
      <c r="K117">
        <v>10</v>
      </c>
    </row>
    <row r="118" spans="1:11" x14ac:dyDescent="0.25">
      <c r="A118" t="s">
        <v>152</v>
      </c>
      <c r="B118">
        <v>0.75</v>
      </c>
      <c r="C118">
        <v>1.125</v>
      </c>
      <c r="D118">
        <v>0.75</v>
      </c>
      <c r="E118">
        <v>0.625</v>
      </c>
      <c r="F118">
        <v>0.37</v>
      </c>
      <c r="G118">
        <v>0.01</v>
      </c>
      <c r="H118">
        <v>3.25</v>
      </c>
      <c r="J118">
        <v>0.67500000000000004</v>
      </c>
      <c r="K118">
        <v>10</v>
      </c>
    </row>
    <row r="119" spans="1:11" x14ac:dyDescent="0.25">
      <c r="A119" t="s">
        <v>153</v>
      </c>
      <c r="B119">
        <v>0.75</v>
      </c>
      <c r="C119">
        <v>1.125</v>
      </c>
      <c r="D119">
        <v>0.75</v>
      </c>
      <c r="E119">
        <v>0.625</v>
      </c>
      <c r="F119">
        <v>0.37</v>
      </c>
      <c r="G119">
        <v>0.01</v>
      </c>
      <c r="H119">
        <v>3.5</v>
      </c>
      <c r="J119">
        <v>0.67500000000000004</v>
      </c>
      <c r="K119">
        <v>10</v>
      </c>
    </row>
    <row r="120" spans="1:11" x14ac:dyDescent="0.25">
      <c r="A120" t="s">
        <v>154</v>
      </c>
      <c r="B120">
        <v>0.875</v>
      </c>
      <c r="C120">
        <v>1.3120000000000001</v>
      </c>
      <c r="D120">
        <v>0.875</v>
      </c>
      <c r="E120">
        <v>0.75</v>
      </c>
      <c r="F120">
        <v>0.432</v>
      </c>
      <c r="G120">
        <v>1.4999999999999999E-2</v>
      </c>
      <c r="H120">
        <v>2</v>
      </c>
      <c r="J120">
        <v>0.78700000000000003</v>
      </c>
      <c r="K120">
        <v>9</v>
      </c>
    </row>
    <row r="121" spans="1:11" x14ac:dyDescent="0.25">
      <c r="A121" t="s">
        <v>155</v>
      </c>
      <c r="B121">
        <v>0.875</v>
      </c>
      <c r="C121">
        <v>1.3120000000000001</v>
      </c>
      <c r="D121">
        <v>0.875</v>
      </c>
      <c r="E121">
        <v>0.75</v>
      </c>
      <c r="F121">
        <v>0.432</v>
      </c>
      <c r="G121">
        <v>1.4999999999999999E-2</v>
      </c>
      <c r="H121">
        <v>2.25</v>
      </c>
      <c r="J121">
        <v>0.78700000000000003</v>
      </c>
      <c r="K121">
        <v>9</v>
      </c>
    </row>
    <row r="122" spans="1:11" x14ac:dyDescent="0.25">
      <c r="A122" t="s">
        <v>156</v>
      </c>
      <c r="B122">
        <v>0.875</v>
      </c>
      <c r="C122">
        <v>1.3120000000000001</v>
      </c>
      <c r="D122">
        <v>0.875</v>
      </c>
      <c r="E122">
        <v>0.75</v>
      </c>
      <c r="F122">
        <v>0.432</v>
      </c>
      <c r="G122">
        <v>1.4999999999999999E-2</v>
      </c>
      <c r="H122">
        <v>2.5</v>
      </c>
      <c r="J122">
        <v>0.78700000000000003</v>
      </c>
      <c r="K122">
        <v>9</v>
      </c>
    </row>
    <row r="123" spans="1:11" x14ac:dyDescent="0.25">
      <c r="A123" t="s">
        <v>157</v>
      </c>
      <c r="B123">
        <v>0.875</v>
      </c>
      <c r="C123">
        <v>1.3120000000000001</v>
      </c>
      <c r="D123">
        <v>0.875</v>
      </c>
      <c r="E123">
        <v>0.75</v>
      </c>
      <c r="F123">
        <v>0.432</v>
      </c>
      <c r="G123">
        <v>1.4999999999999999E-2</v>
      </c>
      <c r="H123">
        <v>2.75</v>
      </c>
      <c r="J123">
        <v>0.78700000000000003</v>
      </c>
      <c r="K123">
        <v>9</v>
      </c>
    </row>
    <row r="124" spans="1:11" x14ac:dyDescent="0.25">
      <c r="A124" t="s">
        <v>158</v>
      </c>
      <c r="B124">
        <v>0.875</v>
      </c>
      <c r="C124">
        <v>1.3120000000000001</v>
      </c>
      <c r="D124">
        <v>0.875</v>
      </c>
      <c r="E124">
        <v>0.75</v>
      </c>
      <c r="F124">
        <v>0.432</v>
      </c>
      <c r="G124">
        <v>1.4999999999999999E-2</v>
      </c>
      <c r="H124">
        <v>3</v>
      </c>
      <c r="J124">
        <v>0.78700000000000003</v>
      </c>
      <c r="K124">
        <v>9</v>
      </c>
    </row>
    <row r="125" spans="1:11" x14ac:dyDescent="0.25">
      <c r="A125" t="s">
        <v>159</v>
      </c>
      <c r="B125">
        <v>0.875</v>
      </c>
      <c r="C125">
        <v>1.3120000000000001</v>
      </c>
      <c r="D125">
        <v>0.875</v>
      </c>
      <c r="E125">
        <v>0.75</v>
      </c>
      <c r="F125">
        <v>0.432</v>
      </c>
      <c r="G125">
        <v>1.4999999999999999E-2</v>
      </c>
      <c r="H125">
        <v>3.25</v>
      </c>
      <c r="J125">
        <v>0.78700000000000003</v>
      </c>
      <c r="K125">
        <v>9</v>
      </c>
    </row>
    <row r="126" spans="1:11" x14ac:dyDescent="0.25">
      <c r="A126" t="s">
        <v>160</v>
      </c>
      <c r="B126">
        <v>0.875</v>
      </c>
      <c r="C126">
        <v>1.3120000000000001</v>
      </c>
      <c r="D126">
        <v>0.875</v>
      </c>
      <c r="E126">
        <v>0.75</v>
      </c>
      <c r="F126">
        <v>0.432</v>
      </c>
      <c r="G126">
        <v>1.4999999999999999E-2</v>
      </c>
      <c r="H126">
        <v>3.5</v>
      </c>
      <c r="J126">
        <v>0.78700000000000003</v>
      </c>
      <c r="K126">
        <v>9</v>
      </c>
    </row>
    <row r="127" spans="1:11" x14ac:dyDescent="0.25">
      <c r="A127" t="s">
        <v>161</v>
      </c>
      <c r="B127">
        <v>0.875</v>
      </c>
      <c r="C127">
        <v>1.3120000000000001</v>
      </c>
      <c r="D127">
        <v>0.875</v>
      </c>
      <c r="E127">
        <v>0.75</v>
      </c>
      <c r="F127">
        <v>0.432</v>
      </c>
      <c r="G127">
        <v>1.4999999999999999E-2</v>
      </c>
      <c r="H127">
        <v>4</v>
      </c>
      <c r="J127">
        <v>0.78700000000000003</v>
      </c>
      <c r="K127">
        <v>9</v>
      </c>
    </row>
    <row r="128" spans="1:11" x14ac:dyDescent="0.25">
      <c r="A128" t="s">
        <v>162</v>
      </c>
      <c r="B128">
        <v>0.875</v>
      </c>
      <c r="C128">
        <v>1.3120000000000001</v>
      </c>
      <c r="D128">
        <v>0.875</v>
      </c>
      <c r="E128">
        <v>0.75</v>
      </c>
      <c r="F128">
        <v>0.432</v>
      </c>
      <c r="G128">
        <v>1.4999999999999999E-2</v>
      </c>
      <c r="H128">
        <v>4.5</v>
      </c>
      <c r="J128">
        <v>0.78700000000000003</v>
      </c>
      <c r="K128">
        <v>9</v>
      </c>
    </row>
    <row r="129" spans="1:11" x14ac:dyDescent="0.25">
      <c r="A129" t="s">
        <v>163</v>
      </c>
      <c r="B129">
        <v>1</v>
      </c>
      <c r="C129">
        <v>1.5</v>
      </c>
      <c r="D129">
        <v>1</v>
      </c>
      <c r="E129">
        <v>0.75</v>
      </c>
      <c r="F129">
        <v>0.495</v>
      </c>
      <c r="G129">
        <v>1.4999999999999999E-2</v>
      </c>
      <c r="H129">
        <v>2.5</v>
      </c>
      <c r="J129">
        <v>0.9</v>
      </c>
      <c r="K129">
        <v>8</v>
      </c>
    </row>
    <row r="130" spans="1:11" x14ac:dyDescent="0.25">
      <c r="A130" t="s">
        <v>164</v>
      </c>
      <c r="B130">
        <v>1</v>
      </c>
      <c r="C130">
        <v>1.5</v>
      </c>
      <c r="D130">
        <v>1</v>
      </c>
      <c r="E130">
        <v>0.75</v>
      </c>
      <c r="F130">
        <v>0.495</v>
      </c>
      <c r="G130">
        <v>1.4999999999999999E-2</v>
      </c>
      <c r="H130">
        <v>2.75</v>
      </c>
      <c r="J130">
        <v>0.9</v>
      </c>
      <c r="K130">
        <v>8</v>
      </c>
    </row>
    <row r="131" spans="1:11" x14ac:dyDescent="0.25">
      <c r="A131" t="s">
        <v>165</v>
      </c>
      <c r="B131">
        <v>1</v>
      </c>
      <c r="C131">
        <v>1.5</v>
      </c>
      <c r="D131">
        <v>1</v>
      </c>
      <c r="E131">
        <v>0.75</v>
      </c>
      <c r="F131">
        <v>0.495</v>
      </c>
      <c r="G131">
        <v>1.4999999999999999E-2</v>
      </c>
      <c r="H131">
        <v>3</v>
      </c>
      <c r="J131">
        <v>0.9</v>
      </c>
      <c r="K131">
        <v>8</v>
      </c>
    </row>
    <row r="132" spans="1:11" x14ac:dyDescent="0.25">
      <c r="A132" t="s">
        <v>166</v>
      </c>
      <c r="B132">
        <v>1</v>
      </c>
      <c r="C132">
        <v>1.5</v>
      </c>
      <c r="D132">
        <v>1</v>
      </c>
      <c r="E132">
        <v>0.75</v>
      </c>
      <c r="F132">
        <v>0.495</v>
      </c>
      <c r="G132">
        <v>1.4999999999999999E-2</v>
      </c>
      <c r="H132">
        <v>3.25</v>
      </c>
      <c r="J132">
        <v>0.9</v>
      </c>
      <c r="K132">
        <v>8</v>
      </c>
    </row>
    <row r="133" spans="1:11" x14ac:dyDescent="0.25">
      <c r="A133" t="s">
        <v>167</v>
      </c>
      <c r="B133">
        <v>1</v>
      </c>
      <c r="C133">
        <v>1.5</v>
      </c>
      <c r="D133">
        <v>1</v>
      </c>
      <c r="E133">
        <v>0.75</v>
      </c>
      <c r="F133">
        <v>0.495</v>
      </c>
      <c r="G133">
        <v>1.4999999999999999E-2</v>
      </c>
      <c r="H133">
        <v>3.5</v>
      </c>
      <c r="J133">
        <v>0.9</v>
      </c>
      <c r="K133">
        <v>8</v>
      </c>
    </row>
    <row r="134" spans="1:11" x14ac:dyDescent="0.25">
      <c r="A134" t="s">
        <v>168</v>
      </c>
      <c r="B134">
        <v>1</v>
      </c>
      <c r="C134">
        <v>1.5</v>
      </c>
      <c r="D134">
        <v>1</v>
      </c>
      <c r="E134">
        <v>0.75</v>
      </c>
      <c r="F134">
        <v>0.495</v>
      </c>
      <c r="G134">
        <v>1.4999999999999999E-2</v>
      </c>
      <c r="H134">
        <v>4</v>
      </c>
      <c r="J134">
        <v>0.9</v>
      </c>
      <c r="K134">
        <v>8</v>
      </c>
    </row>
    <row r="135" spans="1:11" x14ac:dyDescent="0.25">
      <c r="A135" t="s">
        <v>169</v>
      </c>
      <c r="B135">
        <v>1</v>
      </c>
      <c r="C135">
        <v>1.5</v>
      </c>
      <c r="D135">
        <v>1</v>
      </c>
      <c r="E135">
        <v>0.75</v>
      </c>
      <c r="F135">
        <v>0.495</v>
      </c>
      <c r="G135">
        <v>1.4999999999999999E-2</v>
      </c>
      <c r="H135">
        <v>4.5</v>
      </c>
      <c r="J135">
        <v>0.9</v>
      </c>
      <c r="K135">
        <v>8</v>
      </c>
    </row>
    <row r="136" spans="1:11" x14ac:dyDescent="0.25">
      <c r="A136" t="s">
        <v>170</v>
      </c>
      <c r="B136">
        <v>1</v>
      </c>
      <c r="C136">
        <v>1.5</v>
      </c>
      <c r="D136">
        <v>1</v>
      </c>
      <c r="E136">
        <v>0.75</v>
      </c>
      <c r="F136">
        <v>0.495</v>
      </c>
      <c r="G136">
        <v>1.4999999999999999E-2</v>
      </c>
      <c r="H136">
        <v>5</v>
      </c>
      <c r="J136">
        <v>0.9</v>
      </c>
      <c r="K136">
        <v>8</v>
      </c>
    </row>
    <row r="137" spans="1:11" x14ac:dyDescent="0.25">
      <c r="A137" t="s">
        <v>171</v>
      </c>
      <c r="B137">
        <v>1.25</v>
      </c>
      <c r="C137">
        <v>1.875</v>
      </c>
      <c r="D137">
        <v>1.25</v>
      </c>
      <c r="E137">
        <v>0.875</v>
      </c>
      <c r="F137">
        <v>0.62</v>
      </c>
      <c r="G137">
        <v>1.4999999999999999E-2</v>
      </c>
      <c r="H137">
        <v>3</v>
      </c>
      <c r="J137">
        <v>1.125</v>
      </c>
      <c r="K137">
        <v>7</v>
      </c>
    </row>
    <row r="138" spans="1:11" x14ac:dyDescent="0.25">
      <c r="A138" t="s">
        <v>172</v>
      </c>
      <c r="B138">
        <v>1.25</v>
      </c>
      <c r="C138">
        <v>1.875</v>
      </c>
      <c r="D138">
        <v>1.25</v>
      </c>
      <c r="E138">
        <v>0.875</v>
      </c>
      <c r="F138">
        <v>0.62</v>
      </c>
      <c r="G138">
        <v>1.4999999999999999E-2</v>
      </c>
      <c r="H138">
        <v>3.25</v>
      </c>
      <c r="J138">
        <v>1.125</v>
      </c>
      <c r="K138">
        <v>7</v>
      </c>
    </row>
    <row r="139" spans="1:11" x14ac:dyDescent="0.25">
      <c r="A139" t="s">
        <v>173</v>
      </c>
      <c r="B139">
        <v>1.25</v>
      </c>
      <c r="C139">
        <v>1.875</v>
      </c>
      <c r="D139">
        <v>1.25</v>
      </c>
      <c r="E139">
        <v>0.875</v>
      </c>
      <c r="F139">
        <v>0.62</v>
      </c>
      <c r="G139">
        <v>1.4999999999999999E-2</v>
      </c>
      <c r="H139">
        <v>3.5</v>
      </c>
      <c r="J139">
        <v>1.125</v>
      </c>
      <c r="K139">
        <v>7</v>
      </c>
    </row>
    <row r="140" spans="1:11" x14ac:dyDescent="0.25">
      <c r="A140" t="s">
        <v>174</v>
      </c>
      <c r="B140">
        <v>1.25</v>
      </c>
      <c r="C140">
        <v>1.875</v>
      </c>
      <c r="D140">
        <v>1.25</v>
      </c>
      <c r="E140">
        <v>0.875</v>
      </c>
      <c r="F140">
        <v>0.62</v>
      </c>
      <c r="G140">
        <v>1.4999999999999999E-2</v>
      </c>
      <c r="H140">
        <v>4</v>
      </c>
      <c r="J140">
        <v>1.125</v>
      </c>
      <c r="K140">
        <v>7</v>
      </c>
    </row>
    <row r="141" spans="1:11" x14ac:dyDescent="0.25">
      <c r="A141" t="s">
        <v>175</v>
      </c>
      <c r="B141">
        <v>1.25</v>
      </c>
      <c r="C141">
        <v>1.875</v>
      </c>
      <c r="D141">
        <v>1.25</v>
      </c>
      <c r="E141">
        <v>0.875</v>
      </c>
      <c r="F141">
        <v>0.62</v>
      </c>
      <c r="G141">
        <v>1.4999999999999999E-2</v>
      </c>
      <c r="H141">
        <v>4.5</v>
      </c>
      <c r="J141">
        <v>1.125</v>
      </c>
      <c r="K141">
        <v>7</v>
      </c>
    </row>
    <row r="142" spans="1:11" x14ac:dyDescent="0.25">
      <c r="A142" t="s">
        <v>176</v>
      </c>
      <c r="B142">
        <v>1.25</v>
      </c>
      <c r="C142">
        <v>1.875</v>
      </c>
      <c r="D142">
        <v>1.25</v>
      </c>
      <c r="E142">
        <v>0.875</v>
      </c>
      <c r="F142">
        <v>0.62</v>
      </c>
      <c r="G142">
        <v>1.4999999999999999E-2</v>
      </c>
      <c r="H142">
        <v>5</v>
      </c>
      <c r="J142">
        <v>1.125</v>
      </c>
      <c r="K142">
        <v>7</v>
      </c>
    </row>
    <row r="143" spans="1:11" x14ac:dyDescent="0.25">
      <c r="A143" t="s">
        <v>177</v>
      </c>
      <c r="B143">
        <v>1.25</v>
      </c>
      <c r="C143">
        <v>1.875</v>
      </c>
      <c r="D143">
        <v>1.25</v>
      </c>
      <c r="E143">
        <v>0.875</v>
      </c>
      <c r="F143">
        <v>0.62</v>
      </c>
      <c r="G143">
        <v>1.4999999999999999E-2</v>
      </c>
      <c r="H143">
        <v>5.5</v>
      </c>
      <c r="J143">
        <v>1.125</v>
      </c>
      <c r="K143">
        <v>7</v>
      </c>
    </row>
    <row r="144" spans="1:11" x14ac:dyDescent="0.25">
      <c r="A144" t="s">
        <v>178</v>
      </c>
      <c r="B144">
        <v>1.25</v>
      </c>
      <c r="C144">
        <v>1.875</v>
      </c>
      <c r="D144">
        <v>1.25</v>
      </c>
      <c r="E144">
        <v>0.875</v>
      </c>
      <c r="F144">
        <v>0.62</v>
      </c>
      <c r="G144">
        <v>1.4999999999999999E-2</v>
      </c>
      <c r="H144">
        <v>6</v>
      </c>
      <c r="J144">
        <v>1.125</v>
      </c>
      <c r="K144">
        <v>7</v>
      </c>
    </row>
    <row r="145" spans="1:11" x14ac:dyDescent="0.25">
      <c r="A145" t="s">
        <v>179</v>
      </c>
      <c r="B145">
        <v>1.5</v>
      </c>
      <c r="C145">
        <v>2.25</v>
      </c>
      <c r="D145">
        <v>1.5</v>
      </c>
      <c r="E145">
        <v>1</v>
      </c>
      <c r="F145">
        <v>0.745</v>
      </c>
      <c r="G145">
        <v>1.4999999999999999E-2</v>
      </c>
      <c r="H145">
        <v>3.5</v>
      </c>
      <c r="J145">
        <v>1.35</v>
      </c>
      <c r="K145">
        <v>6</v>
      </c>
    </row>
    <row r="146" spans="1:11" x14ac:dyDescent="0.25">
      <c r="A146" t="s">
        <v>180</v>
      </c>
      <c r="B146">
        <v>1.5</v>
      </c>
      <c r="C146">
        <v>2.25</v>
      </c>
      <c r="D146">
        <v>1.5</v>
      </c>
      <c r="E146">
        <v>1</v>
      </c>
      <c r="F146">
        <v>0.745</v>
      </c>
      <c r="G146">
        <v>1.4999999999999999E-2</v>
      </c>
      <c r="H146">
        <v>4</v>
      </c>
      <c r="J146">
        <v>1.35</v>
      </c>
      <c r="K146">
        <v>6</v>
      </c>
    </row>
    <row r="147" spans="1:11" x14ac:dyDescent="0.25">
      <c r="A147" t="s">
        <v>181</v>
      </c>
      <c r="B147">
        <v>1.5</v>
      </c>
      <c r="C147">
        <v>2.25</v>
      </c>
      <c r="D147">
        <v>1.5</v>
      </c>
      <c r="E147">
        <v>1</v>
      </c>
      <c r="F147">
        <v>0.745</v>
      </c>
      <c r="G147">
        <v>1.4999999999999999E-2</v>
      </c>
      <c r="H147">
        <v>4.5</v>
      </c>
      <c r="J147">
        <v>1.35</v>
      </c>
      <c r="K147">
        <v>6</v>
      </c>
    </row>
    <row r="148" spans="1:11" x14ac:dyDescent="0.25">
      <c r="A148" t="s">
        <v>182</v>
      </c>
      <c r="B148">
        <v>1.5</v>
      </c>
      <c r="C148">
        <v>2.25</v>
      </c>
      <c r="D148">
        <v>1.5</v>
      </c>
      <c r="E148">
        <v>1</v>
      </c>
      <c r="F148">
        <v>0.745</v>
      </c>
      <c r="G148">
        <v>1.4999999999999999E-2</v>
      </c>
      <c r="H148">
        <v>5</v>
      </c>
      <c r="J148">
        <v>1.35</v>
      </c>
      <c r="K148">
        <v>6</v>
      </c>
    </row>
    <row r="149" spans="1:11" x14ac:dyDescent="0.25">
      <c r="A149" t="s">
        <v>183</v>
      </c>
      <c r="B149">
        <v>1.5</v>
      </c>
      <c r="C149">
        <v>2.25</v>
      </c>
      <c r="D149">
        <v>1.5</v>
      </c>
      <c r="E149">
        <v>1</v>
      </c>
      <c r="F149">
        <v>0.745</v>
      </c>
      <c r="G149">
        <v>1.4999999999999999E-2</v>
      </c>
      <c r="H149">
        <v>5.5</v>
      </c>
      <c r="J149">
        <v>1.35</v>
      </c>
      <c r="K149">
        <v>6</v>
      </c>
    </row>
    <row r="150" spans="1:11" x14ac:dyDescent="0.25">
      <c r="A150" t="s">
        <v>184</v>
      </c>
      <c r="B150">
        <v>1.5</v>
      </c>
      <c r="C150">
        <v>2.25</v>
      </c>
      <c r="D150">
        <v>1.5</v>
      </c>
      <c r="E150">
        <v>1</v>
      </c>
      <c r="F150">
        <v>0.745</v>
      </c>
      <c r="G150">
        <v>1.4999999999999999E-2</v>
      </c>
      <c r="H150">
        <v>6</v>
      </c>
      <c r="J150">
        <v>1.35</v>
      </c>
      <c r="K150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Ilie</dc:creator>
  <cp:lastModifiedBy>Felix Ilie</cp:lastModifiedBy>
  <dcterms:created xsi:type="dcterms:W3CDTF">2017-01-17T01:04:52Z</dcterms:created>
  <dcterms:modified xsi:type="dcterms:W3CDTF">2017-01-23T19:55:02Z</dcterms:modified>
</cp:coreProperties>
</file>